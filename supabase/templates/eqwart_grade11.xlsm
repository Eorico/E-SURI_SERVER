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windowWidth="28800" windowHeight="11730" tabRatio="600" firstSheet="9" activeTab="9" autoFilterDateGrouping="1"/>
  </bookViews>
  <sheets>
    <sheet name="HOW-TO STEPS" sheetId="1" state="hidden" r:id="rId1"/>
    <sheet name="ELEC-BE" sheetId="2" state="hidden" r:id="rId2"/>
    <sheet name="Gen Science" sheetId="3" state="visible" r:id="rId3"/>
    <sheet name="Gen Math" sheetId="4" state="visible" r:id="rId4"/>
    <sheet name="CL" sheetId="5" state="visible" r:id="rId5"/>
    <sheet name="SSTP" sheetId="6" state="visible" r:id="rId6"/>
    <sheet name="PKLP" sheetId="7" state="visible" r:id="rId7"/>
    <sheet name="LCS" sheetId="8" state="visible" r:id="rId8"/>
    <sheet name="E.Comm" sheetId="9" state="visible" r:id="rId9"/>
    <sheet name="M. Kommunikasyon" sheetId="10" state="visible" r:id="rId10"/>
  </sheets>
  <definedNames>
    <definedName name="_xleta.COLUMN" hidden="1" xlm="1" functionGroupId="14">#NAME?</definedName>
    <definedName name="_xleta.RANK" hidden="1" xlm="1" functionGroupId="14">#NAME?</definedName>
    <definedName name="_xlnm.Print_Area" localSheetId="2">'Gen Science'!$A$1:$AB$228</definedName>
    <definedName name="_xlnm.Print_Area" localSheetId="3">'Gen Math'!$A$1:$AB$228</definedName>
    <definedName name="_xlnm.Print_Area" localSheetId="4">'CL'!$A$1:$AB$228</definedName>
    <definedName name="_xlnm.Print_Area" localSheetId="5">'SSTP'!$A$1:$AB$228</definedName>
    <definedName name="_xlnm.Print_Area" localSheetId="6">'PKLP'!$A$1:$AB$228</definedName>
    <definedName name="_xlnm.Print_Area" localSheetId="7">'LCS'!$A$1:$AB$228</definedName>
    <definedName name="_xlnm.Print_Area" localSheetId="8">'E.Comm'!$A$1:$AB$228</definedName>
    <definedName name="_xlnm.Print_Area" localSheetId="9">'M. Kommunikasyon'!$A$1:$AB$228</definedName>
  </definedNames>
  <calcPr calcId="191029" fullCalcOnLoad="1"/>
</workbook>
</file>

<file path=xl/styles.xml><?xml version="1.0" encoding="utf-8"?>
<styleSheet xmlns="http://schemas.openxmlformats.org/spreadsheetml/2006/main">
  <numFmts count="2">
    <numFmt numFmtId="164" formatCode="_ * #,##0.00_ ;_ * \-#,##0.00_ ;_ * &quot;-&quot;??_ ;_ @_ "/>
    <numFmt numFmtId="165" formatCode="_ * #,##0_ ;_ * \-#,##0_ ;_ * &quot;-&quot;_ ;_ @_ "/>
  </numFmts>
  <fonts count="91">
    <font>
      <name val="Calibri"/>
      <charset val="134"/>
      <color theme="1"/>
      <sz val="11"/>
      <scheme val="minor"/>
    </font>
    <font>
      <name val="Arial Narrow"/>
      <charset val="134"/>
      <b val="1"/>
      <color theme="1"/>
      <sz val="20"/>
    </font>
    <font>
      <name val="Arial Narrow"/>
      <charset val="134"/>
      <color theme="1"/>
      <sz val="12"/>
    </font>
    <font>
      <name val="Calibri"/>
      <charset val="134"/>
      <color theme="1"/>
      <sz val="11"/>
      <scheme val="minor"/>
    </font>
    <font>
      <name val="Bookman Old Style"/>
      <charset val="134"/>
      <color theme="1"/>
      <sz val="12"/>
    </font>
    <font>
      <name val="Calibri"/>
      <charset val="134"/>
      <color theme="1"/>
      <sz val="12"/>
      <scheme val="minor"/>
    </font>
    <font>
      <name val="Bookman Old Style"/>
      <charset val="134"/>
      <b val="1"/>
      <color rgb="FF000000"/>
      <sz val="12"/>
    </font>
    <font>
      <name val="Calibri"/>
      <charset val="134"/>
      <sz val="12"/>
    </font>
    <font>
      <name val="Bookman Old Style"/>
      <charset val="134"/>
      <b val="1"/>
      <color theme="1"/>
      <sz val="12"/>
    </font>
    <font>
      <name val="Calibri"/>
      <charset val="134"/>
      <color theme="10"/>
      <sz val="12"/>
      <u val="single"/>
    </font>
    <font>
      <name val="Bookman Old Style"/>
      <charset val="134"/>
      <b val="1"/>
      <color theme="1"/>
      <sz val="20"/>
    </font>
    <font>
      <name val="Bookman Old Style"/>
      <charset val="134"/>
      <color theme="1"/>
      <sz val="20"/>
    </font>
    <font>
      <name val="Calibri"/>
      <charset val="134"/>
      <color theme="10"/>
      <sz val="12"/>
      <u val="single"/>
      <scheme val="minor"/>
    </font>
    <font>
      <name val="Bookman Old Style"/>
      <charset val="134"/>
      <b val="1"/>
      <i val="1"/>
      <color theme="1"/>
      <sz val="20"/>
    </font>
    <font>
      <name val="Bookman Old Style"/>
      <charset val="134"/>
      <i val="1"/>
      <color theme="1"/>
      <sz val="20"/>
    </font>
    <font>
      <name val="Bookman Old Style"/>
      <charset val="134"/>
      <i val="1"/>
      <color rgb="FF000000"/>
      <sz val="20"/>
    </font>
    <font>
      <name val="Bookman Old Style"/>
      <charset val="134"/>
      <b val="1"/>
      <color rgb="FFFF0000"/>
      <sz val="28"/>
    </font>
    <font>
      <name val="Calibri"/>
      <charset val="134"/>
      <sz val="28"/>
    </font>
    <font>
      <name val="Bookman Old Style"/>
      <charset val="134"/>
      <b val="1"/>
      <color theme="1"/>
      <sz val="8"/>
    </font>
    <font>
      <name val="Bookman Old Style"/>
      <charset val="134"/>
      <color rgb="FF000000"/>
      <sz val="12"/>
    </font>
    <font>
      <name val="Calibri"/>
      <charset val="134"/>
      <b val="1"/>
      <color rgb="FF000000"/>
      <sz val="12"/>
    </font>
    <font>
      <name val="Calibri"/>
      <charset val="134"/>
      <color theme="1"/>
      <sz val="12"/>
    </font>
    <font>
      <name val="Calibri"/>
      <charset val="134"/>
      <b val="1"/>
      <color theme="1"/>
      <sz val="12"/>
    </font>
    <font>
      <name val="Courier New"/>
      <charset val="134"/>
      <color theme="1"/>
      <sz val="12"/>
    </font>
    <font>
      <name val="Calibri"/>
      <charset val="134"/>
      <i val="1"/>
      <color rgb="FF000000"/>
      <sz val="26"/>
    </font>
    <font>
      <name val="Calibri"/>
      <charset val="134"/>
      <b val="1"/>
      <color theme="1"/>
      <sz val="26"/>
      <scheme val="minor"/>
    </font>
    <font>
      <name val="Arial"/>
      <charset val="134"/>
      <b val="1"/>
      <color theme="1"/>
      <sz val="20"/>
    </font>
    <font>
      <name val="Arial Narrow"/>
      <charset val="134"/>
      <b val="1"/>
      <color theme="1"/>
      <sz val="18"/>
    </font>
    <font>
      <name val="Arial Narrow"/>
      <charset val="134"/>
      <b val="1"/>
      <color rgb="FF000000"/>
      <sz val="20"/>
    </font>
    <font>
      <name val="Arial"/>
      <charset val="134"/>
      <b val="1"/>
      <color theme="1"/>
      <sz val="11"/>
    </font>
    <font>
      <name val="Arial Narrow"/>
      <charset val="134"/>
      <b val="1"/>
      <color theme="1"/>
      <sz val="12"/>
    </font>
    <font>
      <name val="Bookman Old Style"/>
      <charset val="1"/>
      <color rgb="FF000000"/>
      <sz val="12"/>
    </font>
    <font>
      <name val="Roboto"/>
      <charset val="134"/>
      <b val="1"/>
      <color theme="1"/>
      <sz val="12"/>
    </font>
    <font>
      <name val="Calibri"/>
      <charset val="134"/>
      <color theme="1"/>
      <sz val="11"/>
    </font>
    <font>
      <name val="Arial"/>
      <charset val="134"/>
      <color theme="1"/>
      <sz val="12"/>
    </font>
    <font>
      <name val="Roboto"/>
      <charset val="134"/>
      <color theme="1"/>
      <sz val="16"/>
    </font>
    <font>
      <name val="Roboto"/>
      <charset val="134"/>
      <color theme="1"/>
      <sz val="12"/>
    </font>
    <font>
      <name val="Arial"/>
      <charset val="134"/>
      <color rgb="FF0000FF"/>
      <sz val="12"/>
      <u val="single"/>
    </font>
    <font>
      <name val="Docs-Roboto"/>
      <charset val="134"/>
      <b val="1"/>
      <color rgb="FF202124"/>
      <sz val="14"/>
    </font>
    <font>
      <name val="Docs-Roboto"/>
      <charset val="134"/>
      <b val="1"/>
      <color rgb="FF202124"/>
      <sz val="16"/>
    </font>
    <font>
      <name val="Calibri"/>
      <charset val="134"/>
      <b val="1"/>
      <color theme="1"/>
      <sz val="11"/>
    </font>
    <font>
      <name val="Roboto"/>
      <charset val="134"/>
      <b val="1"/>
      <color rgb="FF202124"/>
      <sz val="14"/>
    </font>
    <font>
      <name val="Calibri"/>
      <charset val="134"/>
      <b val="1"/>
      <sz val="14"/>
    </font>
    <font>
      <name val="Calibri"/>
      <charset val="134"/>
      <i val="1"/>
      <color theme="1"/>
      <sz val="12"/>
    </font>
    <font>
      <name val="Calibri"/>
      <charset val="134"/>
      <color rgb="FF000000"/>
      <sz val="12"/>
    </font>
    <font>
      <name val="Bookman Old Style"/>
      <charset val="134"/>
      <b val="1"/>
      <color theme="4"/>
      <sz val="12"/>
    </font>
    <font>
      <name val="Bookman Old Style"/>
      <charset val="134"/>
      <b val="1"/>
      <color rgb="FFFF0000"/>
      <sz val="36"/>
    </font>
    <font>
      <name val="Calibri"/>
      <charset val="134"/>
      <sz val="36"/>
    </font>
    <font>
      <name val="Arial"/>
      <charset val="134"/>
      <b val="1"/>
      <color rgb="FF000000"/>
      <sz val="12"/>
    </font>
    <font>
      <name val="Arial"/>
      <charset val="134"/>
      <color rgb="FF000000"/>
      <sz val="12"/>
    </font>
    <font>
      <name val="Arial"/>
      <charset val="134"/>
      <b val="1"/>
      <color rgb="FF000000"/>
      <sz val="11"/>
    </font>
    <font>
      <name val="Arial"/>
      <charset val="134"/>
      <color rgb="FF000000"/>
      <sz val="11"/>
    </font>
    <font>
      <name val="Calibri"/>
      <charset val="134"/>
      <color rgb="FF000000"/>
      <sz val="11"/>
    </font>
    <font>
      <name val="Calibri"/>
      <charset val="134"/>
      <color theme="10"/>
      <sz val="11"/>
      <u val="single"/>
    </font>
    <font>
      <name val="Bookman Old Style"/>
      <charset val="134"/>
      <color theme="1"/>
      <sz val="12"/>
      <u val="single"/>
    </font>
    <font>
      <name val="Calibri"/>
      <charset val="134"/>
      <sz val="11"/>
    </font>
    <font>
      <name val="Bookman Old Style"/>
      <charset val="134"/>
      <b val="1"/>
      <color rgb="FFFF0000"/>
      <sz val="16"/>
    </font>
    <font>
      <name val="Calibri"/>
      <charset val="134"/>
      <color theme="1"/>
      <sz val="14"/>
    </font>
    <font>
      <name val="Bookman Old Style"/>
      <charset val="134"/>
      <b val="1"/>
      <color theme="4"/>
      <sz val="20"/>
    </font>
    <font>
      <name val="Arial"/>
      <charset val="134"/>
      <color theme="1"/>
      <sz val="11"/>
    </font>
    <font>
      <name val="Arial"/>
      <charset val="134"/>
      <sz val="11"/>
    </font>
    <font>
      <name val="Bookman Old Style"/>
      <charset val="1"/>
      <color rgb="FF000000"/>
      <sz val="11"/>
    </font>
    <font>
      <name val="Calibri"/>
      <charset val="134"/>
      <b val="1"/>
      <color theme="1"/>
      <sz val="16"/>
    </font>
    <font>
      <name val="Bookman Old Style"/>
      <charset val="134"/>
      <b val="1"/>
      <color rgb="FF548135"/>
      <sz val="14"/>
    </font>
    <font>
      <name val="Bookman Old Style"/>
      <charset val="134"/>
      <b val="1"/>
      <color rgb="FF548135"/>
      <sz val="20"/>
    </font>
    <font>
      <name val="Calibri"/>
      <charset val="134"/>
      <b val="1"/>
      <color rgb="FF548135"/>
      <sz val="12"/>
    </font>
    <font>
      <name val="Calibri"/>
      <charset val="134"/>
      <color theme="10"/>
      <sz val="11"/>
      <u val="single"/>
      <scheme val="minor"/>
    </font>
    <font>
      <name val="Calibri"/>
      <charset val="134"/>
      <i val="1"/>
      <color theme="1"/>
      <sz val="14"/>
    </font>
    <font>
      <name val="Calibri"/>
      <charset val="134"/>
      <color rgb="FF0000FF"/>
      <sz val="11"/>
      <u val="single"/>
    </font>
    <font>
      <name val="Calibri"/>
      <charset val="134"/>
      <color rgb="FF548135"/>
      <sz val="11"/>
    </font>
    <font>
      <name val="Calibri"/>
      <charset val="0"/>
      <color rgb="FF800080"/>
      <sz val="11"/>
      <u val="single"/>
      <scheme val="minor"/>
    </font>
    <font>
      <name val="Calibri"/>
      <charset val="0"/>
      <color rgb="FFFF0000"/>
      <sz val="11"/>
      <scheme val="minor"/>
    </font>
    <font>
      <name val="Calibri"/>
      <charset val="134"/>
      <b val="1"/>
      <color theme="3"/>
      <sz val="18"/>
      <scheme val="minor"/>
    </font>
    <font>
      <name val="Calibri"/>
      <charset val="0"/>
      <i val="1"/>
      <color rgb="FF7F7F7F"/>
      <sz val="11"/>
      <scheme val="minor"/>
    </font>
    <font>
      <name val="Calibri"/>
      <charset val="134"/>
      <b val="1"/>
      <color theme="3"/>
      <sz val="15"/>
      <scheme val="minor"/>
    </font>
    <font>
      <name val="Calibri"/>
      <charset val="134"/>
      <b val="1"/>
      <color theme="3"/>
      <sz val="13"/>
      <scheme val="minor"/>
    </font>
    <font>
      <name val="Calibri"/>
      <charset val="134"/>
      <b val="1"/>
      <color theme="3"/>
      <sz val="11"/>
      <scheme val="minor"/>
    </font>
    <font>
      <name val="Calibri"/>
      <charset val="0"/>
      <color rgb="FF3F3F76"/>
      <sz val="11"/>
      <scheme val="minor"/>
    </font>
    <font>
      <name val="Calibri"/>
      <charset val="0"/>
      <b val="1"/>
      <color rgb="FF3F3F3F"/>
      <sz val="11"/>
      <scheme val="minor"/>
    </font>
    <font>
      <name val="Calibri"/>
      <charset val="0"/>
      <b val="1"/>
      <color rgb="FFFA7D00"/>
      <sz val="11"/>
      <scheme val="minor"/>
    </font>
    <font>
      <name val="Calibri"/>
      <charset val="0"/>
      <b val="1"/>
      <color rgb="FFFFFFFF"/>
      <sz val="11"/>
      <scheme val="minor"/>
    </font>
    <font>
      <name val="Calibri"/>
      <charset val="0"/>
      <color rgb="FFFA7D00"/>
      <sz val="11"/>
      <scheme val="minor"/>
    </font>
    <font>
      <name val="Calibri"/>
      <charset val="0"/>
      <b val="1"/>
      <color theme="1"/>
      <sz val="11"/>
      <scheme val="minor"/>
    </font>
    <font>
      <name val="Calibri"/>
      <charset val="0"/>
      <color rgb="FF006100"/>
      <sz val="11"/>
      <scheme val="minor"/>
    </font>
    <font>
      <name val="Calibri"/>
      <charset val="0"/>
      <color rgb="FF9C0006"/>
      <sz val="11"/>
      <scheme val="minor"/>
    </font>
    <font>
      <name val="Calibri"/>
      <charset val="0"/>
      <color rgb="FF9C6500"/>
      <sz val="11"/>
      <scheme val="minor"/>
    </font>
    <font>
      <name val="Calibri"/>
      <charset val="0"/>
      <color theme="0"/>
      <sz val="11"/>
      <scheme val="minor"/>
    </font>
    <font>
      <name val="Calibri"/>
      <charset val="0"/>
      <color theme="1"/>
      <sz val="11"/>
      <scheme val="minor"/>
    </font>
    <font>
      <name val="Arial Narrow"/>
      <charset val="134"/>
      <b val="1"/>
      <i val="1"/>
      <color rgb="FF000000"/>
      <sz val="20"/>
    </font>
    <font>
      <name val="Bookman Old Style"/>
      <charset val="134"/>
      <b val="1"/>
      <i val="1"/>
      <color rgb="FF000000"/>
      <sz val="20"/>
      <u val="single"/>
    </font>
    <font>
      <name val="Calibri"/>
      <charset val="134"/>
      <b val="1"/>
      <i val="1"/>
      <color rgb="FF000000"/>
      <sz val="26"/>
    </font>
  </fonts>
  <fills count="73">
    <fill>
      <patternFill/>
    </fill>
    <fill>
      <patternFill patternType="gray125"/>
    </fill>
    <fill>
      <patternFill patternType="solid">
        <fgColor theme="0"/>
        <bgColor indexed="64"/>
      </patternFill>
    </fill>
    <fill>
      <patternFill patternType="solid">
        <fgColor rgb="FFA5A5A5"/>
        <bgColor rgb="FFA5A5A5"/>
      </patternFill>
    </fill>
    <fill>
      <patternFill patternType="solid">
        <fgColor rgb="FFE2EFD9"/>
        <bgColor rgb="FFE2EFD9"/>
      </patternFill>
    </fill>
    <fill>
      <patternFill patternType="solid">
        <fgColor rgb="FFFFC000"/>
        <bgColor indexed="64"/>
      </patternFill>
    </fill>
    <fill>
      <patternFill patternType="solid">
        <fgColor theme="7"/>
        <bgColor indexed="64"/>
      </patternFill>
    </fill>
    <fill>
      <patternFill patternType="solid">
        <fgColor rgb="FFBF6FBB"/>
        <bgColor indexed="64"/>
      </patternFill>
    </fill>
    <fill>
      <patternFill patternType="solid">
        <fgColor theme="0" tint="-0.0499893185216834"/>
        <bgColor rgb="FFA5A5A5"/>
      </patternFill>
    </fill>
    <fill>
      <patternFill patternType="solid">
        <fgColor rgb="FFF2F2F2"/>
        <bgColor rgb="FFF2F2F2"/>
      </patternFill>
    </fill>
    <fill>
      <patternFill patternType="solid">
        <fgColor rgb="FFECECEC"/>
        <bgColor rgb="FFECECEC"/>
      </patternFill>
    </fill>
    <fill>
      <patternFill patternType="solid">
        <fgColor rgb="FFD0CECE"/>
        <bgColor rgb="FFD0CECE"/>
      </patternFill>
    </fill>
    <fill>
      <patternFill patternType="solid">
        <fgColor theme="7" tint="0.799981688894314"/>
        <bgColor indexed="64"/>
      </patternFill>
    </fill>
    <fill>
      <patternFill patternType="solid">
        <fgColor theme="0" tint="-0.349986266670736"/>
        <bgColor indexed="64"/>
      </patternFill>
    </fill>
    <fill>
      <patternFill patternType="solid">
        <fgColor rgb="FFFBE4D5"/>
        <bgColor rgb="FFFBE4D5"/>
      </patternFill>
    </fill>
    <fill>
      <patternFill patternType="solid">
        <fgColor rgb="FFC9DAF8"/>
        <bgColor rgb="FFC9DAF8"/>
      </patternFill>
    </fill>
    <fill>
      <patternFill patternType="solid">
        <fgColor rgb="FFD9EAD3"/>
        <bgColor rgb="FFD9EAD3"/>
      </patternFill>
    </fill>
    <fill>
      <patternFill patternType="solid">
        <fgColor theme="9" tint="0.799981688894314"/>
        <bgColor indexed="64"/>
      </patternFill>
    </fill>
    <fill>
      <patternFill patternType="solid">
        <fgColor rgb="FFFCE5CD"/>
        <bgColor rgb="FFFCE5CD"/>
      </patternFill>
    </fill>
    <fill>
      <patternFill patternType="solid">
        <fgColor rgb="FFCFE2F3"/>
        <bgColor rgb="FFCFE2F3"/>
      </patternFill>
    </fill>
    <fill>
      <patternFill patternType="solid">
        <fgColor theme="0"/>
        <bgColor rgb="FFCFE2F3"/>
      </patternFill>
    </fill>
    <fill>
      <patternFill patternType="solid">
        <fgColor rgb="FFFFFFFF"/>
        <bgColor rgb="FFFFFFFF"/>
      </patternFill>
    </fill>
    <fill>
      <patternFill patternType="solid">
        <fgColor rgb="FFFFE599"/>
        <bgColor rgb="FFFFE599"/>
      </patternFill>
    </fill>
    <fill>
      <patternFill patternType="solid">
        <fgColor rgb="FFEFEFEF"/>
        <bgColor rgb="FFEFEFEF"/>
      </patternFill>
    </fill>
    <fill>
      <patternFill patternType="solid">
        <fgColor theme="0"/>
        <bgColor rgb="FFEFEFEF"/>
      </patternFill>
    </fill>
    <fill>
      <patternFill patternType="solid">
        <fgColor rgb="FFFFD966"/>
        <bgColor rgb="FFFFD966"/>
      </patternFill>
    </fill>
    <fill>
      <patternFill patternType="solid">
        <fgColor rgb="FFD0E0E3"/>
        <bgColor rgb="FFD0E0E3"/>
      </patternFill>
    </fill>
    <fill>
      <patternFill patternType="solid">
        <fgColor rgb="FFFFEF9E"/>
        <bgColor rgb="FFFDFDD1"/>
      </patternFill>
    </fill>
    <fill>
      <patternFill patternType="solid">
        <fgColor rgb="FFFFEF9E"/>
        <bgColor rgb="FFFBE4D5"/>
      </patternFill>
    </fill>
    <fill>
      <patternFill patternType="solid">
        <fgColor rgb="FFFDFDD1"/>
        <bgColor rgb="FFFDFDD1"/>
      </patternFill>
    </fill>
    <fill>
      <patternFill patternType="solid">
        <fgColor rgb="FFFFEF9E"/>
        <bgColor rgb="FFE2EFD9"/>
      </patternFill>
    </fill>
    <fill>
      <patternFill patternType="solid">
        <fgColor theme="5" tint="0.799981688894314"/>
        <bgColor rgb="FFFCE5CD"/>
      </patternFill>
    </fill>
    <fill>
      <patternFill patternType="solid">
        <fgColor theme="5" tint="0.799981688894314"/>
        <bgColor indexed="64"/>
      </patternFill>
    </fill>
    <fill>
      <patternFill patternType="solid">
        <fgColor theme="4" tint="0.599993896298105"/>
        <bgColor rgb="FF000000"/>
      </patternFill>
    </fill>
    <fill>
      <patternFill patternType="solid">
        <fgColor theme="4" tint="0.599993896298105"/>
        <bgColor indexed="64"/>
      </patternFill>
    </fill>
    <fill>
      <patternFill patternType="solid">
        <fgColor theme="8" tint="0.799981688894314"/>
        <bgColor indexed="64"/>
      </patternFill>
    </fill>
    <fill>
      <patternFill patternType="solid">
        <fgColor rgb="FFBFBFBF"/>
        <bgColor rgb="FFBFBFBF"/>
      </patternFill>
    </fill>
    <fill>
      <patternFill patternType="solid">
        <fgColor rgb="FFD8D8D8"/>
        <bgColor rgb="FFD8D8D8"/>
      </patternFill>
    </fill>
    <fill>
      <patternFill patternType="solid">
        <fgColor rgb="FFFFD965"/>
        <bgColor rgb="FFFFD965"/>
      </patternFill>
    </fill>
    <fill>
      <patternFill patternType="solid">
        <fgColor rgb="FF6FA8DC"/>
        <bgColor rgb="FF6FA8DC"/>
      </patternFill>
    </fill>
    <fill>
      <patternFill patternType="solid">
        <fgColor rgb="FFF9CB9C"/>
        <bgColor rgb="FFF9CB9C"/>
      </patternFill>
    </fill>
    <fill>
      <patternFill patternType="solid">
        <fgColor rgb="FFFFFF00"/>
        <bgColor rgb="FFFFFF00"/>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84">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style="thin">
        <color auto="1"/>
      </top>
      <bottom/>
      <diagonal/>
    </border>
    <border>
      <left style="thin">
        <color rgb="FF000000"/>
      </left>
      <right/>
      <top style="thin">
        <color rgb="FF000000"/>
      </top>
      <bottom/>
      <diagonal/>
    </border>
    <border>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auto="1"/>
      </left>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right/>
      <top style="thin">
        <color rgb="FF000000"/>
      </top>
      <bottom/>
      <diagonal/>
    </border>
    <border>
      <left/>
      <right style="thin">
        <color rgb="FF000000"/>
      </right>
      <top/>
      <bottom style="thin">
        <color rgb="FF000000"/>
      </bottom>
      <diagonal/>
    </border>
    <border>
      <left style="medium">
        <color auto="1"/>
      </left>
      <right style="thin">
        <color auto="1"/>
      </right>
      <top/>
      <bottom/>
      <diagonal/>
    </border>
    <border>
      <left style="medium">
        <color rgb="FF000000"/>
      </left>
      <right/>
      <top style="medium">
        <color rgb="FF000000"/>
      </top>
      <bottom style="thin">
        <color auto="1"/>
      </bottom>
      <diagonal/>
    </border>
    <border>
      <left/>
      <right/>
      <top style="medium">
        <color rgb="FF000000"/>
      </top>
      <bottom style="thin">
        <color auto="1"/>
      </bottom>
      <diagonal/>
    </border>
    <border>
      <left/>
      <right style="medium">
        <color rgb="FF000000"/>
      </right>
      <top style="medium">
        <color rgb="FF000000"/>
      </top>
      <bottom style="thin">
        <color auto="1"/>
      </bottom>
      <diagonal/>
    </border>
    <border>
      <left/>
      <right/>
      <top style="medium">
        <color auto="1"/>
      </top>
      <bottom style="thin">
        <color auto="1"/>
      </bottom>
      <diagonal/>
    </border>
    <border>
      <left/>
      <right style="medium">
        <color rgb="FF000000"/>
      </right>
      <top style="medium">
        <color auto="1"/>
      </top>
      <bottom style="thin">
        <color auto="1"/>
      </bottom>
      <diagonal/>
    </border>
    <border>
      <left style="medium">
        <color rgb="FF000000"/>
      </left>
      <right style="thin">
        <color auto="1"/>
      </right>
      <top/>
      <bottom style="thin">
        <color auto="1"/>
      </bottom>
      <diagonal/>
    </border>
    <border>
      <left/>
      <right style="medium">
        <color rgb="FF000000"/>
      </right>
      <top/>
      <bottom style="thin">
        <color auto="1"/>
      </bottom>
      <diagonal/>
    </border>
    <border>
      <left/>
      <right style="medium">
        <color rgb="FF000000"/>
      </right>
      <top style="thin">
        <color auto="1"/>
      </top>
      <bottom style="thin">
        <color auto="1"/>
      </bottom>
      <diagonal/>
    </border>
    <border>
      <left style="medium">
        <color rgb="FF000000"/>
      </left>
      <right style="thin">
        <color auto="1"/>
      </right>
      <top/>
      <bottom style="medium">
        <color rgb="FF000000"/>
      </bottom>
      <diagonal/>
    </border>
    <border>
      <left/>
      <right style="thin">
        <color auto="1"/>
      </right>
      <top/>
      <bottom style="medium">
        <color rgb="FF000000"/>
      </bottom>
      <diagonal/>
    </border>
    <border>
      <left/>
      <right/>
      <top style="thin">
        <color auto="1"/>
      </top>
      <bottom style="medium">
        <color auto="1"/>
      </bottom>
      <diagonal/>
    </border>
    <border>
      <left/>
      <right style="medium">
        <color rgb="FF000000"/>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rgb="FF000000"/>
      </right>
      <top style="thin">
        <color rgb="FF000000"/>
      </top>
      <bottom/>
      <diagonal/>
    </border>
    <border>
      <left style="medium">
        <color auto="1"/>
      </left>
      <right/>
      <top style="thin">
        <color auto="1"/>
      </top>
      <bottom style="thin">
        <color auto="1"/>
      </bottom>
      <diagonal/>
    </border>
    <border>
      <left style="medium">
        <color auto="1"/>
      </left>
      <right/>
      <top/>
      <bottom style="thin">
        <color auto="1"/>
      </bottom>
      <diagonal/>
    </border>
    <border>
      <left style="medium">
        <color auto="1"/>
      </left>
      <right/>
      <top/>
      <bottom/>
      <diagonal/>
    </border>
    <border>
      <left style="thin">
        <color rgb="FF000000"/>
      </left>
      <right/>
      <top/>
      <bottom style="thin">
        <color rgb="FF000000"/>
      </bottom>
      <diagonal/>
    </border>
    <border>
      <left/>
      <right style="thin">
        <color rgb="FF000000"/>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style="thin">
        <color auto="1"/>
      </right>
      <top/>
      <bottom/>
      <diagonal/>
    </border>
    <border>
      <left/>
      <right/>
      <top/>
      <bottom style="thin">
        <color auto="1"/>
      </bottom>
      <diagonal/>
    </border>
    <border>
      <left/>
      <right/>
      <top style="medium">
        <color auto="1"/>
      </top>
      <bottom/>
      <diagonal/>
    </border>
    <border>
      <left/>
      <right style="thin">
        <color auto="1"/>
      </right>
      <top style="medium">
        <color auto="1"/>
      </top>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rgb="FF000000"/>
      </left>
      <right style="medium">
        <color rgb="FF000000"/>
      </right>
      <top style="medium">
        <color rgb="FF000000"/>
      </top>
      <bottom style="thin">
        <color auto="1"/>
      </bottom>
      <diagonal/>
    </border>
    <border>
      <left/>
      <right style="medium">
        <color rgb="FF000000"/>
      </right>
      <top style="medium">
        <color auto="1"/>
      </top>
      <bottom/>
      <diagonal/>
    </border>
    <border>
      <left/>
      <right style="medium">
        <color rgb="FF000000"/>
      </right>
      <top style="thin">
        <color auto="1"/>
      </top>
      <bottom/>
      <diagonal/>
    </border>
    <border>
      <left style="medium">
        <color rgb="FF000000"/>
      </left>
      <right style="medium">
        <color rgb="FF000000"/>
      </right>
      <top style="medium">
        <color rgb="FF000000"/>
      </top>
      <bottom style="medium">
        <color rgb="FF000000"/>
      </bottom>
      <diagonal/>
    </border>
  </borders>
  <cellStyleXfs count="50">
    <xf numFmtId="0" fontId="3" fillId="0" borderId="0"/>
    <xf numFmtId="164" fontId="3" fillId="0" borderId="0" applyAlignment="1">
      <alignment vertical="center"/>
    </xf>
    <xf numFmtId="44" fontId="3" fillId="0" borderId="0" applyAlignment="1">
      <alignment vertical="center"/>
    </xf>
    <xf numFmtId="9" fontId="3" fillId="0" borderId="0" applyAlignment="1">
      <alignment vertical="center"/>
    </xf>
    <xf numFmtId="165" fontId="3" fillId="0" borderId="0" applyAlignment="1">
      <alignment vertical="center"/>
    </xf>
    <xf numFmtId="42" fontId="3" fillId="0" borderId="0" applyAlignment="1">
      <alignment vertical="center"/>
    </xf>
    <xf numFmtId="0" fontId="66" fillId="0" borderId="0"/>
    <xf numFmtId="0" fontId="70" fillId="0" borderId="0" applyAlignment="1">
      <alignment vertical="center"/>
    </xf>
    <xf numFmtId="0" fontId="3" fillId="42" borderId="66" applyAlignment="1">
      <alignment vertical="center"/>
    </xf>
    <xf numFmtId="0" fontId="71" fillId="0" borderId="0" applyAlignment="1">
      <alignment vertical="center"/>
    </xf>
    <xf numFmtId="0" fontId="72" fillId="0" borderId="0" applyAlignment="1">
      <alignment vertical="center"/>
    </xf>
    <xf numFmtId="0" fontId="73" fillId="0" borderId="0" applyAlignment="1">
      <alignment vertical="center"/>
    </xf>
    <xf numFmtId="0" fontId="74" fillId="0" borderId="67" applyAlignment="1">
      <alignment vertical="center"/>
    </xf>
    <xf numFmtId="0" fontId="75" fillId="0" borderId="67" applyAlignment="1">
      <alignment vertical="center"/>
    </xf>
    <xf numFmtId="0" fontId="76" fillId="0" borderId="68" applyAlignment="1">
      <alignment vertical="center"/>
    </xf>
    <xf numFmtId="0" fontId="76" fillId="0" borderId="0" applyAlignment="1">
      <alignment vertical="center"/>
    </xf>
    <xf numFmtId="0" fontId="77" fillId="43" borderId="69" applyAlignment="1">
      <alignment vertical="center"/>
    </xf>
    <xf numFmtId="0" fontId="78" fillId="44" borderId="70" applyAlignment="1">
      <alignment vertical="center"/>
    </xf>
    <xf numFmtId="0" fontId="79" fillId="44" borderId="69" applyAlignment="1">
      <alignment vertical="center"/>
    </xf>
    <xf numFmtId="0" fontId="80" fillId="45" borderId="71" applyAlignment="1">
      <alignment vertical="center"/>
    </xf>
    <xf numFmtId="0" fontId="81" fillId="0" borderId="72" applyAlignment="1">
      <alignment vertical="center"/>
    </xf>
    <xf numFmtId="0" fontId="82" fillId="0" borderId="73" applyAlignment="1">
      <alignment vertical="center"/>
    </xf>
    <xf numFmtId="0" fontId="83" fillId="46" borderId="0" applyAlignment="1">
      <alignment vertical="center"/>
    </xf>
    <xf numFmtId="0" fontId="84" fillId="47" borderId="0" applyAlignment="1">
      <alignment vertical="center"/>
    </xf>
    <xf numFmtId="0" fontId="85" fillId="48" borderId="0" applyAlignment="1">
      <alignment vertical="center"/>
    </xf>
    <xf numFmtId="0" fontId="86" fillId="49" borderId="0" applyAlignment="1">
      <alignment vertical="center"/>
    </xf>
    <xf numFmtId="0" fontId="87" fillId="50" borderId="0" applyAlignment="1">
      <alignment vertical="center"/>
    </xf>
    <xf numFmtId="0" fontId="87" fillId="51" borderId="0" applyAlignment="1">
      <alignment vertical="center"/>
    </xf>
    <xf numFmtId="0" fontId="86" fillId="52" borderId="0" applyAlignment="1">
      <alignment vertical="center"/>
    </xf>
    <xf numFmtId="0" fontId="86" fillId="53" borderId="0" applyAlignment="1">
      <alignment vertical="center"/>
    </xf>
    <xf numFmtId="0" fontId="87" fillId="54" borderId="0" applyAlignment="1">
      <alignment vertical="center"/>
    </xf>
    <xf numFmtId="0" fontId="87" fillId="55" borderId="0" applyAlignment="1">
      <alignment vertical="center"/>
    </xf>
    <xf numFmtId="0" fontId="86" fillId="56" borderId="0" applyAlignment="1">
      <alignment vertical="center"/>
    </xf>
    <xf numFmtId="0" fontId="86" fillId="57" borderId="0" applyAlignment="1">
      <alignment vertical="center"/>
    </xf>
    <xf numFmtId="0" fontId="87" fillId="58" borderId="0" applyAlignment="1">
      <alignment vertical="center"/>
    </xf>
    <xf numFmtId="0" fontId="87" fillId="59" borderId="0" applyAlignment="1">
      <alignment vertical="center"/>
    </xf>
    <xf numFmtId="0" fontId="86" fillId="60" borderId="0" applyAlignment="1">
      <alignment vertical="center"/>
    </xf>
    <xf numFmtId="0" fontId="86" fillId="61" borderId="0" applyAlignment="1">
      <alignment vertical="center"/>
    </xf>
    <xf numFmtId="0" fontId="87" fillId="62" borderId="0" applyAlignment="1">
      <alignment vertical="center"/>
    </xf>
    <xf numFmtId="0" fontId="87" fillId="63" borderId="0" applyAlignment="1">
      <alignment vertical="center"/>
    </xf>
    <xf numFmtId="0" fontId="86" fillId="64" borderId="0" applyAlignment="1">
      <alignment vertical="center"/>
    </xf>
    <xf numFmtId="0" fontId="86" fillId="65" borderId="0" applyAlignment="1">
      <alignment vertical="center"/>
    </xf>
    <xf numFmtId="0" fontId="87" fillId="66" borderId="0" applyAlignment="1">
      <alignment vertical="center"/>
    </xf>
    <xf numFmtId="0" fontId="87" fillId="67" borderId="0" applyAlignment="1">
      <alignment vertical="center"/>
    </xf>
    <xf numFmtId="0" fontId="86" fillId="68" borderId="0" applyAlignment="1">
      <alignment vertical="center"/>
    </xf>
    <xf numFmtId="0" fontId="86" fillId="69" borderId="0" applyAlignment="1">
      <alignment vertical="center"/>
    </xf>
    <xf numFmtId="0" fontId="87" fillId="70" borderId="0" applyAlignment="1">
      <alignment vertical="center"/>
    </xf>
    <xf numFmtId="0" fontId="87" fillId="71" borderId="0" applyAlignment="1">
      <alignment vertical="center"/>
    </xf>
    <xf numFmtId="0" fontId="86" fillId="72" borderId="0" applyAlignment="1">
      <alignment vertical="center"/>
    </xf>
    <xf numFmtId="0" fontId="3" fillId="0" borderId="0"/>
  </cellStyleXfs>
  <cellXfs count="466">
    <xf numFmtId="0" fontId="0" fillId="0" borderId="0" pivotButton="0" quotePrefix="0" xfId="0"/>
    <xf numFmtId="0" fontId="0" fillId="0" borderId="0" pivotButton="0" quotePrefix="0" xfId="0"/>
    <xf numFmtId="0" fontId="1" fillId="2" borderId="0" applyAlignment="1" applyProtection="1" pivotButton="0" quotePrefix="0" xfId="0">
      <alignment vertical="center"/>
      <protection locked="0" hidden="0"/>
    </xf>
    <xf numFmtId="0" fontId="2" fillId="2" borderId="0" applyAlignment="1" applyProtection="1" pivotButton="0" quotePrefix="0" xfId="0">
      <alignment horizontal="center"/>
      <protection locked="0" hidden="0"/>
    </xf>
    <xf numFmtId="0" fontId="3" fillId="0" borderId="0" pivotButton="0" quotePrefix="0" xfId="49"/>
    <xf numFmtId="0" fontId="3" fillId="0" borderId="0" applyAlignment="1" pivotButton="0" quotePrefix="0" xfId="49">
      <alignment horizontal="left"/>
    </xf>
    <xf numFmtId="0" fontId="4" fillId="0" borderId="0" pivotButton="0" quotePrefix="0" xfId="0"/>
    <xf numFmtId="0" fontId="5" fillId="0" borderId="0" pivotButton="0" quotePrefix="0" xfId="0"/>
    <xf numFmtId="0" fontId="6" fillId="3" borderId="1" applyAlignment="1" pivotButton="0" quotePrefix="0" xfId="0">
      <alignment vertical="center"/>
    </xf>
    <xf numFmtId="0" fontId="4" fillId="4" borderId="2" applyAlignment="1" pivotButton="0" quotePrefix="0" xfId="0">
      <alignment horizontal="left" vertical="center"/>
    </xf>
    <xf numFmtId="0" fontId="7" fillId="0" borderId="3" pivotButton="0" quotePrefix="0" xfId="0"/>
    <xf numFmtId="0" fontId="7" fillId="0" borderId="4" pivotButton="0" quotePrefix="0" xfId="0"/>
    <xf numFmtId="0" fontId="8" fillId="0" borderId="0" applyAlignment="1" pivotButton="0" quotePrefix="0" xfId="0">
      <alignment horizontal="center"/>
    </xf>
    <xf numFmtId="0" fontId="9" fillId="0" borderId="0" applyAlignment="1" pivotButton="0" quotePrefix="0" xfId="0">
      <alignment horizontal="left"/>
    </xf>
    <xf numFmtId="0" fontId="4" fillId="0" borderId="0" applyAlignment="1" pivotButton="0" quotePrefix="0" xfId="0">
      <alignment horizontal="center" vertical="center"/>
    </xf>
    <xf numFmtId="0" fontId="10" fillId="5" borderId="0" applyAlignment="1" pivotButton="0" quotePrefix="0" xfId="0">
      <alignment horizontal="left"/>
    </xf>
    <xf numFmtId="0" fontId="10" fillId="5" borderId="0" applyAlignment="1" pivotButton="0" quotePrefix="0" xfId="0">
      <alignment horizontal="center"/>
    </xf>
    <xf numFmtId="0" fontId="8" fillId="5" borderId="0" applyAlignment="1" pivotButton="0" quotePrefix="0" xfId="0">
      <alignment horizontal="center"/>
    </xf>
    <xf numFmtId="0" fontId="6" fillId="3" borderId="1" applyAlignment="1" pivotButton="0" quotePrefix="0" xfId="0">
      <alignment vertical="center" wrapText="1"/>
    </xf>
    <xf numFmtId="0" fontId="10" fillId="6" borderId="0" applyAlignment="1" pivotButton="0" quotePrefix="0" xfId="0">
      <alignment horizontal="center" vertical="center"/>
    </xf>
    <xf numFmtId="0" fontId="11" fillId="6" borderId="0" applyAlignment="1" pivotButton="0" quotePrefix="0" xfId="0">
      <alignment horizontal="left" vertical="center" wrapText="1"/>
    </xf>
    <xf numFmtId="0" fontId="11" fillId="6" borderId="0" applyAlignment="1" pivotButton="0" quotePrefix="0" xfId="0">
      <alignment horizontal="left" vertical="center"/>
    </xf>
    <xf numFmtId="0" fontId="12" fillId="4" borderId="2" applyAlignment="1" pivotButton="0" quotePrefix="0" xfId="6">
      <alignment horizontal="left" vertical="center" wrapText="1"/>
    </xf>
    <xf numFmtId="0" fontId="12" fillId="0" borderId="3" applyAlignment="1" pivotButton="0" quotePrefix="0" xfId="6">
      <alignment wrapText="1"/>
    </xf>
    <xf numFmtId="0" fontId="12" fillId="0" borderId="4" applyAlignment="1" pivotButton="0" quotePrefix="0" xfId="6">
      <alignment wrapText="1"/>
    </xf>
    <xf numFmtId="0" fontId="13" fillId="6" borderId="0" applyAlignment="1" pivotButton="0" quotePrefix="0" xfId="0">
      <alignment horizontal="left" vertical="center" wrapText="1"/>
    </xf>
    <xf numFmtId="0" fontId="10" fillId="6" borderId="0" pivotButton="0" quotePrefix="0" xfId="0"/>
    <xf numFmtId="0" fontId="14" fillId="6" borderId="0" applyAlignment="1" pivotButton="0" quotePrefix="0" xfId="0">
      <alignment horizontal="left" vertical="center" wrapText="1" indent="5"/>
    </xf>
    <xf numFmtId="0" fontId="4" fillId="0" borderId="2" applyAlignment="1" pivotButton="0" quotePrefix="0" xfId="0">
      <alignment horizontal="left" vertical="center"/>
    </xf>
    <xf numFmtId="0" fontId="15" fillId="7" borderId="0" applyAlignment="1" pivotButton="0" quotePrefix="0" xfId="0">
      <alignment horizontal="center" vertical="center" wrapText="1"/>
    </xf>
    <xf numFmtId="0" fontId="14" fillId="7" borderId="0" applyAlignment="1" pivotButton="0" quotePrefix="0" xfId="0">
      <alignment horizontal="center" vertical="center" wrapText="1"/>
    </xf>
    <xf numFmtId="0" fontId="6" fillId="8" borderId="0" applyAlignment="1" pivotButton="0" quotePrefix="0" xfId="0">
      <alignment vertical="center" wrapText="1"/>
    </xf>
    <xf numFmtId="0" fontId="4" fillId="0" borderId="0" applyAlignment="1" pivotButton="0" quotePrefix="0" xfId="0">
      <alignment horizontal="left" vertical="center"/>
    </xf>
    <xf numFmtId="0" fontId="7" fillId="0" borderId="0" pivotButton="0" quotePrefix="0" xfId="0"/>
    <xf numFmtId="0" fontId="13" fillId="7" borderId="0" applyAlignment="1" pivotButton="0" quotePrefix="0" xfId="0">
      <alignment horizontal="center" vertical="center" wrapText="1"/>
    </xf>
    <xf numFmtId="0" fontId="13" fillId="7" borderId="5" applyAlignment="1" pivotButton="0" quotePrefix="0" xfId="0">
      <alignment horizontal="center" vertical="center" wrapText="1"/>
    </xf>
    <xf numFmtId="0" fontId="8" fillId="0" borderId="0" applyAlignment="1" pivotButton="0" quotePrefix="0" xfId="0">
      <alignment horizontal="center" shrinkToFit="1"/>
    </xf>
    <xf numFmtId="0" fontId="16" fillId="0" borderId="2" applyAlignment="1" pivotButton="0" quotePrefix="0" xfId="0">
      <alignment horizontal="center" vertical="center" wrapText="1"/>
    </xf>
    <xf numFmtId="0" fontId="17" fillId="0" borderId="3" pivotButton="0" quotePrefix="0" xfId="0"/>
    <xf numFmtId="0" fontId="17" fillId="0" borderId="4" pivotButton="0" quotePrefix="0" xfId="0"/>
    <xf numFmtId="0" fontId="4" fillId="0" borderId="0" applyAlignment="1" pivotButton="0" quotePrefix="0" xfId="0">
      <alignment wrapText="1"/>
    </xf>
    <xf numFmtId="0" fontId="8" fillId="9" borderId="1" applyAlignment="1" pivotButton="0" quotePrefix="0" xfId="0">
      <alignment horizontal="center" vertical="top" wrapText="1"/>
    </xf>
    <xf numFmtId="0" fontId="8" fillId="9" borderId="2" applyAlignment="1" pivotButton="0" quotePrefix="0" xfId="0">
      <alignment horizontal="center" vertical="top" wrapText="1"/>
    </xf>
    <xf numFmtId="0" fontId="8" fillId="9" borderId="4" applyAlignment="1" pivotButton="0" quotePrefix="0" xfId="0">
      <alignment horizontal="center" vertical="top" wrapText="1"/>
    </xf>
    <xf numFmtId="0" fontId="18" fillId="9" borderId="1" applyAlignment="1" pivotButton="0" quotePrefix="0" xfId="0">
      <alignment horizontal="center" vertical="top" wrapText="1"/>
    </xf>
    <xf numFmtId="0" fontId="8" fillId="10" borderId="1" applyAlignment="1" pivotButton="0" quotePrefix="0" xfId="0">
      <alignment horizontal="center" vertical="center" wrapText="1"/>
    </xf>
    <xf numFmtId="0" fontId="8" fillId="10" borderId="6" applyAlignment="1" pivotButton="0" quotePrefix="0" xfId="0">
      <alignment vertical="center" wrapText="1"/>
    </xf>
    <xf numFmtId="0" fontId="8" fillId="11" borderId="1" applyAlignment="1" pivotButton="0" quotePrefix="0" xfId="0">
      <alignment horizontal="center" vertical="center" wrapText="1"/>
    </xf>
    <xf numFmtId="0" fontId="4" fillId="12" borderId="1" applyAlignment="1" pivotButton="0" quotePrefix="0" xfId="0">
      <alignment horizontal="center" vertical="center" wrapText="1"/>
    </xf>
    <xf numFmtId="0" fontId="8" fillId="12" borderId="1" applyAlignment="1" pivotButton="0" quotePrefix="0" xfId="0">
      <alignment horizontal="center" vertical="center" wrapText="1"/>
    </xf>
    <xf numFmtId="0" fontId="4" fillId="10" borderId="1" applyAlignment="1" pivotButton="0" quotePrefix="0" xfId="0">
      <alignment horizontal="center" vertical="center"/>
    </xf>
    <xf numFmtId="0" fontId="8" fillId="10" borderId="7" applyAlignment="1" pivotButton="0" quotePrefix="0" xfId="0">
      <alignment horizontal="center" vertical="center" wrapText="1"/>
    </xf>
    <xf numFmtId="0" fontId="4" fillId="0" borderId="1" applyAlignment="1" pivotButton="0" quotePrefix="0" xfId="0">
      <alignment horizontal="center"/>
    </xf>
    <xf numFmtId="0" fontId="19" fillId="13" borderId="3" applyAlignment="1" pivotButton="0" quotePrefix="0" xfId="0">
      <alignment vertical="center"/>
    </xf>
    <xf numFmtId="0" fontId="4" fillId="3" borderId="3" applyAlignment="1" pivotButton="0" quotePrefix="0" xfId="0">
      <alignment vertical="center"/>
    </xf>
    <xf numFmtId="0" fontId="4" fillId="12" borderId="1" applyAlignment="1" pivotButton="0" quotePrefix="0" xfId="0">
      <alignment horizontal="center" vertical="center"/>
    </xf>
    <xf numFmtId="0" fontId="4" fillId="0" borderId="1" applyAlignment="1" pivotButton="0" quotePrefix="0" xfId="0">
      <alignment horizontal="center" vertical="center"/>
    </xf>
    <xf numFmtId="2" fontId="4" fillId="0" borderId="1" applyAlignment="1" pivotButton="0" quotePrefix="0" xfId="0">
      <alignment horizontal="center" vertical="center"/>
    </xf>
    <xf numFmtId="0" fontId="4" fillId="0" borderId="1" applyAlignment="1" pivotButton="0" quotePrefix="0" xfId="0">
      <alignment horizontal="center" vertical="center" shrinkToFit="1"/>
    </xf>
    <xf numFmtId="0" fontId="4" fillId="12" borderId="6" applyAlignment="1" pivotButton="0" quotePrefix="0" xfId="0">
      <alignment horizontal="center" vertical="center"/>
    </xf>
    <xf numFmtId="2" fontId="4" fillId="0" borderId="6" applyAlignment="1" pivotButton="0" quotePrefix="0" xfId="0">
      <alignment horizontal="center" vertical="center"/>
    </xf>
    <xf numFmtId="0" fontId="4" fillId="0" borderId="6" applyAlignment="1" pivotButton="0" quotePrefix="0" xfId="0">
      <alignment horizontal="center" vertical="center"/>
    </xf>
    <xf numFmtId="0" fontId="4" fillId="0" borderId="6" applyAlignment="1" pivotButton="0" quotePrefix="0" xfId="0">
      <alignment horizontal="center" vertical="center" shrinkToFit="1"/>
    </xf>
    <xf numFmtId="0" fontId="20" fillId="14" borderId="1" applyAlignment="1" pivotButton="0" quotePrefix="0" xfId="0">
      <alignment horizontal="center" vertical="center" wrapText="1"/>
    </xf>
    <xf numFmtId="0" fontId="21" fillId="14" borderId="1" applyAlignment="1" pivotButton="0" quotePrefix="0" xfId="0">
      <alignment horizontal="center" vertical="center" wrapText="1"/>
    </xf>
    <xf numFmtId="0" fontId="21" fillId="14" borderId="2" applyAlignment="1" pivotButton="0" quotePrefix="0" xfId="0">
      <alignment horizontal="center" vertical="center" wrapText="1"/>
    </xf>
    <xf numFmtId="0" fontId="21" fillId="14" borderId="8" applyAlignment="1" pivotButton="0" quotePrefix="0" xfId="0">
      <alignment horizontal="center" vertical="center" wrapText="1"/>
    </xf>
    <xf numFmtId="0" fontId="21" fillId="14" borderId="9" applyAlignment="1" pivotButton="0" quotePrefix="0" xfId="0">
      <alignment horizontal="center" vertical="center" wrapText="1"/>
    </xf>
    <xf numFmtId="0" fontId="21" fillId="14" borderId="10" applyAlignment="1" pivotButton="0" quotePrefix="0" xfId="0">
      <alignment horizontal="center" vertical="center" wrapText="1"/>
    </xf>
    <xf numFmtId="0" fontId="4" fillId="0" borderId="0" pivotButton="0" quotePrefix="0" xfId="0"/>
    <xf numFmtId="0" fontId="22" fillId="14" borderId="1" applyAlignment="1" pivotButton="0" quotePrefix="0" xfId="0">
      <alignment horizontal="center" vertical="center" wrapText="1"/>
    </xf>
    <xf numFmtId="2" fontId="21" fillId="14" borderId="1" applyAlignment="1" pivotButton="0" quotePrefix="0" xfId="0">
      <alignment horizontal="center" vertical="center" wrapText="1"/>
    </xf>
    <xf numFmtId="2" fontId="21" fillId="14" borderId="2" applyAlignment="1" pivotButton="0" quotePrefix="0" xfId="0">
      <alignment horizontal="center" vertical="center" wrapText="1"/>
    </xf>
    <xf numFmtId="0" fontId="21" fillId="14" borderId="11" applyAlignment="1" pivotButton="0" quotePrefix="0" xfId="0">
      <alignment horizontal="center" vertical="center" wrapText="1"/>
    </xf>
    <xf numFmtId="0" fontId="21" fillId="14" borderId="0" applyAlignment="1" pivotButton="0" quotePrefix="0" xfId="0">
      <alignment horizontal="center" vertical="center" wrapText="1"/>
    </xf>
    <xf numFmtId="0" fontId="21" fillId="14" borderId="12" applyAlignment="1" pivotButton="0" quotePrefix="0" xfId="0">
      <alignment horizontal="center" vertical="center" wrapText="1"/>
    </xf>
    <xf numFmtId="0" fontId="21" fillId="14" borderId="13" applyAlignment="1" pivotButton="0" quotePrefix="0" xfId="0">
      <alignment horizontal="center" vertical="center" wrapText="1"/>
    </xf>
    <xf numFmtId="0" fontId="21" fillId="14" borderId="14" applyAlignment="1" pivotButton="0" quotePrefix="0" xfId="0">
      <alignment horizontal="center" vertical="center" wrapText="1"/>
    </xf>
    <xf numFmtId="0" fontId="21" fillId="14" borderId="15" applyAlignment="1" pivotButton="0" quotePrefix="0" xfId="0">
      <alignment horizontal="center" vertical="center" wrapText="1"/>
    </xf>
    <xf numFmtId="0" fontId="4" fillId="0" borderId="16" applyAlignment="1" pivotButton="0" quotePrefix="0" xfId="0">
      <alignment horizontal="center"/>
    </xf>
    <xf numFmtId="0" fontId="21" fillId="0" borderId="0" pivotButton="0" quotePrefix="0" xfId="0"/>
    <xf numFmtId="10" fontId="4" fillId="0" borderId="0" applyAlignment="1" pivotButton="0" quotePrefix="0" xfId="0">
      <alignment horizontal="center" vertical="center"/>
    </xf>
    <xf numFmtId="0" fontId="4" fillId="0" borderId="0" applyAlignment="1" pivotButton="0" quotePrefix="0" xfId="0">
      <alignment horizontal="center" vertical="center"/>
    </xf>
    <xf numFmtId="0" fontId="23" fillId="0" borderId="0" applyAlignment="1" pivotButton="0" quotePrefix="0" xfId="0">
      <alignment horizontal="center" vertical="center" wrapText="1"/>
    </xf>
    <xf numFmtId="0" fontId="23" fillId="0" borderId="0" applyAlignment="1" pivotButton="0" quotePrefix="0" xfId="0">
      <alignment horizontal="center" vertical="center" wrapText="1"/>
    </xf>
    <xf numFmtId="0" fontId="24" fillId="7" borderId="17" applyAlignment="1" pivotButton="0" quotePrefix="0" xfId="0">
      <alignment horizontal="center" vertical="center" wrapText="1" indent="5"/>
    </xf>
    <xf numFmtId="0" fontId="25" fillId="7" borderId="18" applyAlignment="1" pivotButton="0" quotePrefix="0" xfId="0">
      <alignment horizontal="center" vertical="center" wrapText="1" indent="5"/>
    </xf>
    <xf numFmtId="0" fontId="25" fillId="7" borderId="19" applyAlignment="1" pivotButton="0" quotePrefix="0" xfId="0">
      <alignment horizontal="center" vertical="center" wrapText="1" indent="5"/>
    </xf>
    <xf numFmtId="0" fontId="25" fillId="7" borderId="20" applyAlignment="1" pivotButton="0" quotePrefix="0" xfId="0">
      <alignment horizontal="center" vertical="center" wrapText="1" indent="5"/>
    </xf>
    <xf numFmtId="0" fontId="5" fillId="0" borderId="0" pivotButton="0" quotePrefix="0" xfId="0"/>
    <xf numFmtId="0" fontId="26" fillId="15" borderId="17" applyAlignment="1" pivotButton="0" quotePrefix="0" xfId="0">
      <alignment horizontal="center" vertical="center" wrapText="1"/>
    </xf>
    <xf numFmtId="0" fontId="26" fillId="15" borderId="18" applyAlignment="1" pivotButton="0" quotePrefix="0" xfId="0">
      <alignment horizontal="center" vertical="center" wrapText="1"/>
    </xf>
    <xf numFmtId="0" fontId="27" fillId="16" borderId="1" applyAlignment="1" applyProtection="1" pivotButton="0" quotePrefix="0" xfId="0">
      <alignment horizontal="center" vertical="center" wrapText="1"/>
      <protection locked="0" hidden="0"/>
    </xf>
    <xf numFmtId="0" fontId="1" fillId="16" borderId="2" applyAlignment="1" applyProtection="1" pivotButton="0" quotePrefix="0" xfId="0">
      <alignment horizontal="center" vertical="center" wrapText="1"/>
      <protection locked="0" hidden="0"/>
    </xf>
    <xf numFmtId="0" fontId="28" fillId="17" borderId="21" applyAlignment="1" applyProtection="1" pivotButton="0" quotePrefix="0" xfId="0">
      <alignment horizontal="left" vertical="center" wrapText="1"/>
      <protection locked="0" hidden="0"/>
    </xf>
    <xf numFmtId="0" fontId="1" fillId="17" borderId="3" applyAlignment="1" applyProtection="1" pivotButton="0" quotePrefix="0" xfId="0">
      <alignment horizontal="left" vertical="center" wrapText="1"/>
      <protection locked="0" hidden="0"/>
    </xf>
    <xf numFmtId="0" fontId="1" fillId="17" borderId="4" applyAlignment="1" applyProtection="1" pivotButton="0" quotePrefix="0" xfId="0">
      <alignment horizontal="left" vertical="center" wrapText="1"/>
      <protection locked="0" hidden="0"/>
    </xf>
    <xf numFmtId="0" fontId="29" fillId="15" borderId="17" applyAlignment="1" pivotButton="0" quotePrefix="0" xfId="0">
      <alignment horizontal="center" vertical="center" wrapText="1"/>
    </xf>
    <xf numFmtId="0" fontId="29" fillId="15" borderId="22" applyAlignment="1" pivotButton="0" quotePrefix="0" xfId="0">
      <alignment horizontal="center" vertical="center" wrapText="1"/>
    </xf>
    <xf numFmtId="0" fontId="30" fillId="16" borderId="1" applyAlignment="1" pivotButton="0" quotePrefix="0" xfId="0">
      <alignment horizontal="center" vertical="center" wrapText="1"/>
    </xf>
    <xf numFmtId="0" fontId="30" fillId="16" borderId="2" applyAlignment="1" pivotButton="0" quotePrefix="0" xfId="0">
      <alignment horizontal="center" vertical="center"/>
    </xf>
    <xf numFmtId="0" fontId="31" fillId="17" borderId="2" applyAlignment="1" applyProtection="1" pivotButton="0" quotePrefix="0" xfId="0">
      <alignment horizontal="center" vertical="center"/>
      <protection locked="0" hidden="0"/>
    </xf>
    <xf numFmtId="0" fontId="1" fillId="17" borderId="3" applyAlignment="1" applyProtection="1" pivotButton="0" quotePrefix="0" xfId="0">
      <alignment horizontal="center" vertical="center"/>
      <protection locked="0" hidden="0"/>
    </xf>
    <xf numFmtId="0" fontId="1" fillId="17" borderId="4" applyAlignment="1" applyProtection="1" pivotButton="0" quotePrefix="0" xfId="0">
      <alignment horizontal="center" vertical="center"/>
      <protection locked="0" hidden="0"/>
    </xf>
    <xf numFmtId="0" fontId="1" fillId="17" borderId="2" applyAlignment="1" applyProtection="1" pivotButton="0" quotePrefix="0" xfId="0">
      <alignment horizontal="center" vertical="center"/>
      <protection locked="0" hidden="0"/>
    </xf>
    <xf numFmtId="0" fontId="29" fillId="18" borderId="23" applyAlignment="1" pivotButton="0" quotePrefix="0" xfId="49">
      <alignment horizontal="center" vertical="top" wrapText="1"/>
    </xf>
    <xf numFmtId="0" fontId="3" fillId="0" borderId="24" applyAlignment="1" pivotButton="0" quotePrefix="0" xfId="49">
      <alignment vertical="top"/>
    </xf>
    <xf numFmtId="0" fontId="32" fillId="18" borderId="23" applyAlignment="1" pivotButton="0" quotePrefix="0" xfId="49">
      <alignment horizontal="center" wrapText="1"/>
    </xf>
    <xf numFmtId="0" fontId="32" fillId="18" borderId="25" applyAlignment="1" pivotButton="0" quotePrefix="0" xfId="49">
      <alignment horizontal="center" wrapText="1"/>
    </xf>
    <xf numFmtId="0" fontId="32" fillId="18" borderId="24" applyAlignment="1" pivotButton="0" quotePrefix="0" xfId="49">
      <alignment horizontal="center" wrapText="1"/>
    </xf>
    <xf numFmtId="0" fontId="29" fillId="19" borderId="23" applyAlignment="1" pivotButton="0" quotePrefix="0" xfId="49">
      <alignment horizontal="center" wrapText="1"/>
    </xf>
    <xf numFmtId="0" fontId="29" fillId="19" borderId="25" applyAlignment="1" pivotButton="0" quotePrefix="0" xfId="49">
      <alignment horizontal="center" wrapText="1"/>
    </xf>
    <xf numFmtId="0" fontId="29" fillId="19" borderId="24" applyAlignment="1" pivotButton="0" quotePrefix="0" xfId="49">
      <alignment horizontal="center" wrapText="1"/>
    </xf>
    <xf numFmtId="0" fontId="29" fillId="20" borderId="0" applyAlignment="1" pivotButton="0" quotePrefix="0" xfId="49">
      <alignment wrapText="1"/>
    </xf>
    <xf numFmtId="0" fontId="33" fillId="21" borderId="0" pivotButton="0" quotePrefix="0" xfId="49"/>
    <xf numFmtId="0" fontId="3" fillId="0" borderId="26" applyAlignment="1" pivotButton="0" quotePrefix="0" xfId="49">
      <alignment vertical="top"/>
    </xf>
    <xf numFmtId="0" fontId="3" fillId="0" borderId="27" applyAlignment="1" pivotButton="0" quotePrefix="0" xfId="49">
      <alignment vertical="top"/>
    </xf>
    <xf numFmtId="0" fontId="34" fillId="18" borderId="26" applyAlignment="1" pivotButton="0" quotePrefix="0" xfId="49">
      <alignment horizontal="left" vertical="top" wrapText="1"/>
    </xf>
    <xf numFmtId="0" fontId="34" fillId="18" borderId="28" applyAlignment="1" pivotButton="0" quotePrefix="0" xfId="49">
      <alignment horizontal="left" vertical="top" wrapText="1"/>
    </xf>
    <xf numFmtId="0" fontId="34" fillId="18" borderId="27" applyAlignment="1" pivotButton="0" quotePrefix="0" xfId="49">
      <alignment horizontal="left" vertical="top" wrapText="1"/>
    </xf>
    <xf numFmtId="0" fontId="35" fillId="19" borderId="26" applyAlignment="1" pivotButton="0" quotePrefix="0" xfId="49">
      <alignment horizontal="left" vertical="top" wrapText="1"/>
    </xf>
    <xf numFmtId="0" fontId="35" fillId="19" borderId="28" applyAlignment="1" pivotButton="0" quotePrefix="0" xfId="49">
      <alignment horizontal="left" vertical="top" wrapText="1"/>
    </xf>
    <xf numFmtId="0" fontId="35" fillId="19" borderId="27" applyAlignment="1" pivotButton="0" quotePrefix="0" xfId="49">
      <alignment horizontal="left" vertical="top" wrapText="1"/>
    </xf>
    <xf numFmtId="0" fontId="36" fillId="20" borderId="0" applyAlignment="1" pivotButton="0" quotePrefix="0" xfId="49">
      <alignment horizontal="left" vertical="top" wrapText="1"/>
    </xf>
    <xf numFmtId="0" fontId="33" fillId="21" borderId="0" applyAlignment="1" pivotButton="0" quotePrefix="0" xfId="49">
      <alignment horizontal="left"/>
    </xf>
    <xf numFmtId="0" fontId="37" fillId="18" borderId="29" applyAlignment="1" pivotButton="0" quotePrefix="0" xfId="49">
      <alignment horizontal="left" wrapText="1"/>
    </xf>
    <xf numFmtId="0" fontId="37" fillId="18" borderId="30" applyAlignment="1" pivotButton="0" quotePrefix="0" xfId="49">
      <alignment horizontal="left" wrapText="1"/>
    </xf>
    <xf numFmtId="0" fontId="37" fillId="18" borderId="31" applyAlignment="1" pivotButton="0" quotePrefix="0" xfId="49">
      <alignment horizontal="left" wrapText="1"/>
    </xf>
    <xf numFmtId="0" fontId="35" fillId="19" borderId="29" applyAlignment="1" pivotButton="0" quotePrefix="0" xfId="49">
      <alignment horizontal="left" vertical="top" wrapText="1"/>
    </xf>
    <xf numFmtId="0" fontId="35" fillId="19" borderId="30" applyAlignment="1" pivotButton="0" quotePrefix="0" xfId="49">
      <alignment horizontal="left" vertical="top" wrapText="1"/>
    </xf>
    <xf numFmtId="0" fontId="35" fillId="19" borderId="31" applyAlignment="1" pivotButton="0" quotePrefix="0" xfId="49">
      <alignment horizontal="left" vertical="top" wrapText="1"/>
    </xf>
    <xf numFmtId="0" fontId="36" fillId="20" borderId="0" applyAlignment="1" pivotButton="0" quotePrefix="0" xfId="49">
      <alignment vertical="top" wrapText="1"/>
    </xf>
    <xf numFmtId="0" fontId="38" fillId="22" borderId="23" applyAlignment="1" applyProtection="1" pivotButton="0" quotePrefix="0" xfId="49">
      <alignment horizontal="left"/>
      <protection locked="0" hidden="0"/>
    </xf>
    <xf numFmtId="0" fontId="38" fillId="22" borderId="25" applyAlignment="1" applyProtection="1" pivotButton="0" quotePrefix="0" xfId="49">
      <alignment horizontal="left"/>
      <protection locked="0" hidden="0"/>
    </xf>
    <xf numFmtId="0" fontId="38" fillId="22" borderId="32" applyAlignment="1" applyProtection="1" pivotButton="0" quotePrefix="0" xfId="49">
      <alignment horizontal="left"/>
      <protection locked="0" hidden="0"/>
    </xf>
    <xf numFmtId="0" fontId="33" fillId="0" borderId="23" applyAlignment="1" applyProtection="1" pivotButton="0" quotePrefix="0" xfId="49">
      <alignment horizontal="center"/>
      <protection locked="0" hidden="0"/>
    </xf>
    <xf numFmtId="0" fontId="33" fillId="0" borderId="25" applyAlignment="1" applyProtection="1" pivotButton="0" quotePrefix="0" xfId="49">
      <alignment horizontal="center"/>
      <protection locked="0" hidden="0"/>
    </xf>
    <xf numFmtId="0" fontId="33" fillId="0" borderId="24" applyAlignment="1" applyProtection="1" pivotButton="0" quotePrefix="0" xfId="49">
      <alignment horizontal="center"/>
      <protection locked="0" hidden="0"/>
    </xf>
    <xf numFmtId="0" fontId="39" fillId="23" borderId="23" applyAlignment="1" applyProtection="1" pivotButton="0" quotePrefix="0" xfId="49">
      <alignment horizontal="left" vertical="top" wrapText="1"/>
      <protection locked="0" hidden="0"/>
    </xf>
    <xf numFmtId="0" fontId="39" fillId="23" borderId="25" applyAlignment="1" applyProtection="1" pivotButton="0" quotePrefix="0" xfId="49">
      <alignment horizontal="left" vertical="top" wrapText="1"/>
      <protection locked="0" hidden="0"/>
    </xf>
    <xf numFmtId="0" fontId="39" fillId="23" borderId="24" applyAlignment="1" applyProtection="1" pivotButton="0" quotePrefix="0" xfId="49">
      <alignment horizontal="left" vertical="top" wrapText="1"/>
      <protection locked="0" hidden="0"/>
    </xf>
    <xf numFmtId="0" fontId="33" fillId="0" borderId="33" applyAlignment="1" applyProtection="1" pivotButton="0" quotePrefix="0" xfId="49">
      <alignment horizontal="center" vertical="top" wrapText="1"/>
      <protection locked="0" hidden="0"/>
    </xf>
    <xf numFmtId="0" fontId="33" fillId="0" borderId="24" applyAlignment="1" applyProtection="1" pivotButton="0" quotePrefix="0" xfId="49">
      <alignment horizontal="center" vertical="top" wrapText="1"/>
      <protection locked="0" hidden="0"/>
    </xf>
    <xf numFmtId="0" fontId="33" fillId="2" borderId="0" applyAlignment="1" pivotButton="0" quotePrefix="0" xfId="49">
      <alignment vertical="top" wrapText="1"/>
    </xf>
    <xf numFmtId="0" fontId="39" fillId="24" borderId="0" applyAlignment="1" pivotButton="0" quotePrefix="0" xfId="49">
      <alignment vertical="top" wrapText="1"/>
    </xf>
    <xf numFmtId="0" fontId="38" fillId="22" borderId="26" applyAlignment="1" applyProtection="1" pivotButton="0" quotePrefix="0" xfId="49">
      <alignment horizontal="left"/>
      <protection locked="0" hidden="0"/>
    </xf>
    <xf numFmtId="0" fontId="38" fillId="22" borderId="28" applyAlignment="1" applyProtection="1" pivotButton="0" quotePrefix="0" xfId="49">
      <alignment horizontal="left"/>
      <protection locked="0" hidden="0"/>
    </xf>
    <xf numFmtId="0" fontId="38" fillId="22" borderId="17" applyAlignment="1" applyProtection="1" pivotButton="0" quotePrefix="0" xfId="49">
      <alignment horizontal="left"/>
      <protection locked="0" hidden="0"/>
    </xf>
    <xf numFmtId="0" fontId="33" fillId="0" borderId="26" applyAlignment="1" applyProtection="1" pivotButton="0" quotePrefix="0" xfId="49">
      <alignment horizontal="center"/>
      <protection locked="0" hidden="0"/>
    </xf>
    <xf numFmtId="0" fontId="33" fillId="0" borderId="28" applyAlignment="1" applyProtection="1" pivotButton="0" quotePrefix="0" xfId="49">
      <alignment horizontal="center"/>
      <protection locked="0" hidden="0"/>
    </xf>
    <xf numFmtId="0" fontId="33" fillId="0" borderId="27" applyAlignment="1" applyProtection="1" pivotButton="0" quotePrefix="0" xfId="49">
      <alignment horizontal="center"/>
      <protection locked="0" hidden="0"/>
    </xf>
    <xf numFmtId="0" fontId="39" fillId="23" borderId="26" applyAlignment="1" applyProtection="1" pivotButton="0" quotePrefix="0" xfId="49">
      <alignment horizontal="left" vertical="top" wrapText="1"/>
      <protection locked="0" hidden="0"/>
    </xf>
    <xf numFmtId="0" fontId="39" fillId="23" borderId="28" applyAlignment="1" applyProtection="1" pivotButton="0" quotePrefix="0" xfId="49">
      <alignment horizontal="left" vertical="top" wrapText="1"/>
      <protection locked="0" hidden="0"/>
    </xf>
    <xf numFmtId="0" fontId="39" fillId="23" borderId="27" applyAlignment="1" applyProtection="1" pivotButton="0" quotePrefix="0" xfId="49">
      <alignment horizontal="left" vertical="top" wrapText="1"/>
      <protection locked="0" hidden="0"/>
    </xf>
    <xf numFmtId="0" fontId="33" fillId="0" borderId="22" applyAlignment="1" applyProtection="1" pivotButton="0" quotePrefix="0" xfId="49">
      <alignment horizontal="center" vertical="top" wrapText="1"/>
      <protection locked="0" hidden="0"/>
    </xf>
    <xf numFmtId="0" fontId="33" fillId="0" borderId="27" applyAlignment="1" applyProtection="1" pivotButton="0" quotePrefix="0" xfId="49">
      <alignment horizontal="center" vertical="top" wrapText="1"/>
      <protection locked="0" hidden="0"/>
    </xf>
    <xf numFmtId="0" fontId="40" fillId="21" borderId="0" pivotButton="0" quotePrefix="0" xfId="49"/>
    <xf numFmtId="0" fontId="38" fillId="22" borderId="34" applyAlignment="1" applyProtection="1" pivotButton="0" quotePrefix="0" xfId="49">
      <alignment horizontal="left"/>
      <protection locked="0" hidden="0"/>
    </xf>
    <xf numFmtId="0" fontId="38" fillId="22" borderId="35" applyAlignment="1" applyProtection="1" pivotButton="0" quotePrefix="0" xfId="49">
      <alignment horizontal="left"/>
      <protection locked="0" hidden="0"/>
    </xf>
    <xf numFmtId="0" fontId="33" fillId="0" borderId="36" applyAlignment="1" applyProtection="1" pivotButton="0" quotePrefix="0" xfId="49">
      <alignment horizontal="center"/>
      <protection locked="0" hidden="0"/>
    </xf>
    <xf numFmtId="0" fontId="33" fillId="0" borderId="34" applyAlignment="1" applyProtection="1" pivotButton="0" quotePrefix="0" xfId="49">
      <alignment horizontal="center"/>
      <protection locked="0" hidden="0"/>
    </xf>
    <xf numFmtId="0" fontId="33" fillId="0" borderId="37" applyAlignment="1" applyProtection="1" pivotButton="0" quotePrefix="0" xfId="49">
      <alignment horizontal="center"/>
      <protection locked="0" hidden="0"/>
    </xf>
    <xf numFmtId="0" fontId="0" fillId="0" borderId="28" applyAlignment="1" applyProtection="1" pivotButton="0" quotePrefix="0" xfId="0">
      <alignment horizontal="left" vertical="top" wrapText="1"/>
      <protection locked="0" hidden="0"/>
    </xf>
    <xf numFmtId="0" fontId="0" fillId="0" borderId="27" applyAlignment="1" applyProtection="1" pivotButton="0" quotePrefix="0" xfId="0">
      <alignment horizontal="left" vertical="top" wrapText="1"/>
      <protection locked="0" hidden="0"/>
    </xf>
    <xf numFmtId="0" fontId="3" fillId="0" borderId="29" applyAlignment="1" pivotButton="0" quotePrefix="0" xfId="49">
      <alignment vertical="top"/>
    </xf>
    <xf numFmtId="0" fontId="3" fillId="0" borderId="31" applyAlignment="1" pivotButton="0" quotePrefix="0" xfId="49">
      <alignment vertical="top"/>
    </xf>
    <xf numFmtId="0" fontId="41" fillId="25" borderId="29" applyAlignment="1" pivotButton="0" quotePrefix="0" xfId="49">
      <alignment horizontal="left" vertical="center"/>
    </xf>
    <xf numFmtId="0" fontId="41" fillId="25" borderId="30" applyAlignment="1" pivotButton="0" quotePrefix="0" xfId="49">
      <alignment horizontal="left" vertical="center"/>
    </xf>
    <xf numFmtId="0" fontId="41" fillId="25" borderId="38" applyAlignment="1" pivotButton="0" quotePrefix="0" xfId="49">
      <alignment horizontal="left" vertical="center"/>
    </xf>
    <xf numFmtId="0" fontId="42" fillId="0" borderId="39" applyAlignment="1" applyProtection="1" pivotButton="0" quotePrefix="0" xfId="49">
      <alignment horizontal="center"/>
      <protection locked="0" hidden="0"/>
    </xf>
    <xf numFmtId="0" fontId="42" fillId="0" borderId="40" applyAlignment="1" applyProtection="1" pivotButton="0" quotePrefix="0" xfId="49">
      <alignment horizontal="center"/>
      <protection locked="0" hidden="0"/>
    </xf>
    <xf numFmtId="0" fontId="42" fillId="0" borderId="41" applyAlignment="1" applyProtection="1" pivotButton="0" quotePrefix="0" xfId="49">
      <alignment horizontal="center"/>
      <protection locked="0" hidden="0"/>
    </xf>
    <xf numFmtId="0" fontId="0" fillId="0" borderId="29" applyAlignment="1" applyProtection="1" pivotButton="0" quotePrefix="0" xfId="0">
      <alignment horizontal="left" vertical="top" wrapText="1"/>
      <protection locked="0" hidden="0"/>
    </xf>
    <xf numFmtId="0" fontId="0" fillId="0" borderId="30" applyAlignment="1" applyProtection="1" pivotButton="0" quotePrefix="0" xfId="0">
      <alignment horizontal="left" vertical="top" wrapText="1"/>
      <protection locked="0" hidden="0"/>
    </xf>
    <xf numFmtId="0" fontId="0" fillId="0" borderId="31" applyAlignment="1" applyProtection="1" pivotButton="0" quotePrefix="0" xfId="0">
      <alignment horizontal="left" vertical="top" wrapText="1"/>
      <protection locked="0" hidden="0"/>
    </xf>
    <xf numFmtId="0" fontId="33" fillId="0" borderId="42" applyAlignment="1" applyProtection="1" pivotButton="0" quotePrefix="0" xfId="49">
      <alignment horizontal="center" vertical="top" wrapText="1"/>
      <protection locked="0" hidden="0"/>
    </xf>
    <xf numFmtId="0" fontId="33" fillId="0" borderId="31" applyAlignment="1" applyProtection="1" pivotButton="0" quotePrefix="0" xfId="49">
      <alignment horizontal="center" vertical="top" wrapText="1"/>
      <protection locked="0" hidden="0"/>
    </xf>
    <xf numFmtId="0" fontId="40" fillId="0" borderId="0" pivotButton="0" quotePrefix="0" xfId="49"/>
    <xf numFmtId="0" fontId="33" fillId="0" borderId="0" pivotButton="0" quotePrefix="0" xfId="49"/>
    <xf numFmtId="0" fontId="21" fillId="0" borderId="0" applyAlignment="1" pivotButton="0" quotePrefix="0" xfId="0">
      <alignment horizontal="left" vertical="center" wrapText="1"/>
    </xf>
    <xf numFmtId="0" fontId="21" fillId="0" borderId="0" applyAlignment="1" pivotButton="0" quotePrefix="0" xfId="0">
      <alignment horizontal="center" vertical="center" wrapText="1"/>
    </xf>
    <xf numFmtId="0" fontId="22" fillId="4" borderId="5" applyAlignment="1" pivotButton="0" quotePrefix="0" xfId="0">
      <alignment horizontal="center" vertical="center" wrapText="1"/>
    </xf>
    <xf numFmtId="0" fontId="7" fillId="0" borderId="5" pivotButton="0" quotePrefix="0" xfId="0"/>
    <xf numFmtId="0" fontId="22" fillId="0" borderId="0" applyAlignment="1" pivotButton="0" quotePrefix="0" xfId="0">
      <alignment horizontal="left" vertical="center"/>
    </xf>
    <xf numFmtId="0" fontId="22" fillId="0" borderId="0" applyAlignment="1" pivotButton="0" quotePrefix="0" xfId="0">
      <alignment horizontal="center" vertical="center"/>
    </xf>
    <xf numFmtId="0" fontId="22" fillId="0" borderId="0" applyAlignment="1" pivotButton="0" quotePrefix="0" xfId="0">
      <alignment horizontal="left"/>
    </xf>
    <xf numFmtId="0" fontId="21" fillId="0" borderId="43" applyAlignment="1" pivotButton="0" quotePrefix="0" xfId="0">
      <alignment horizontal="center" vertical="center" wrapText="1"/>
    </xf>
    <xf numFmtId="0" fontId="7" fillId="0" borderId="43" pivotButton="0" quotePrefix="0" xfId="0"/>
    <xf numFmtId="0" fontId="43" fillId="0" borderId="0" applyAlignment="1" pivotButton="0" quotePrefix="0" xfId="0">
      <alignment horizontal="left" vertical="center"/>
    </xf>
    <xf numFmtId="0" fontId="44" fillId="0" borderId="43" applyAlignment="1" pivotButton="0" quotePrefix="0" xfId="0">
      <alignment horizontal="center" vertical="center"/>
    </xf>
    <xf numFmtId="0" fontId="43" fillId="0" borderId="0" applyAlignment="1" pivotButton="0" quotePrefix="0" xfId="0">
      <alignment horizontal="left"/>
    </xf>
    <xf numFmtId="0" fontId="22" fillId="0" borderId="5" applyAlignment="1" pivotButton="0" quotePrefix="0" xfId="0">
      <alignment horizontal="center" vertical="center" wrapText="1"/>
    </xf>
    <xf numFmtId="0" fontId="4" fillId="0" borderId="0" applyAlignment="1" pivotButton="0" quotePrefix="0" xfId="0">
      <alignment horizontal="center"/>
    </xf>
    <xf numFmtId="0" fontId="21" fillId="0" borderId="0" applyAlignment="1" pivotButton="0" quotePrefix="0" xfId="0">
      <alignment horizontal="left"/>
    </xf>
    <xf numFmtId="0" fontId="45" fillId="0" borderId="0" applyAlignment="1" pivotButton="0" quotePrefix="0" xfId="0">
      <alignment horizontal="left"/>
    </xf>
    <xf numFmtId="0" fontId="46" fillId="0" borderId="2" applyAlignment="1" pivotButton="0" quotePrefix="0" xfId="0">
      <alignment horizontal="center" vertical="center" wrapText="1"/>
    </xf>
    <xf numFmtId="0" fontId="47" fillId="0" borderId="3" pivotButton="0" quotePrefix="0" xfId="0"/>
    <xf numFmtId="0" fontId="47" fillId="0" borderId="4" pivotButton="0" quotePrefix="0" xfId="0"/>
    <xf numFmtId="0" fontId="8" fillId="0" borderId="1" applyAlignment="1" pivotButton="0" quotePrefix="0" xfId="0">
      <alignment horizontal="center" vertical="center" wrapText="1"/>
    </xf>
    <xf numFmtId="0" fontId="4" fillId="3" borderId="2" applyAlignment="1" pivotButton="0" quotePrefix="0" xfId="0">
      <alignment vertical="center"/>
    </xf>
    <xf numFmtId="0" fontId="4" fillId="4" borderId="1" applyAlignment="1" pivotButton="0" quotePrefix="0" xfId="0">
      <alignment horizontal="center" vertical="center"/>
    </xf>
    <xf numFmtId="0" fontId="4" fillId="4" borderId="6" applyAlignment="1" pivotButton="0" quotePrefix="0" xfId="0">
      <alignment horizontal="center" vertical="center"/>
    </xf>
    <xf numFmtId="0" fontId="48" fillId="26" borderId="4" pivotButton="0" quotePrefix="0" xfId="0"/>
    <xf numFmtId="0" fontId="44" fillId="0" borderId="0" pivotButton="0" quotePrefix="0" xfId="0"/>
    <xf numFmtId="0" fontId="6" fillId="27" borderId="26" pivotButton="0" quotePrefix="0" xfId="0"/>
    <xf numFmtId="0" fontId="4" fillId="28" borderId="1" applyAlignment="1" pivotButton="0" quotePrefix="0" xfId="0">
      <alignment horizontal="center" vertical="center" wrapText="1"/>
    </xf>
    <xf numFmtId="0" fontId="19" fillId="26" borderId="44" pivotButton="0" quotePrefix="0" xfId="0"/>
    <xf numFmtId="0" fontId="6" fillId="29" borderId="26" pivotButton="0" quotePrefix="0" xfId="0"/>
    <xf numFmtId="0" fontId="19" fillId="27" borderId="23" pivotButton="0" quotePrefix="0" xfId="0"/>
    <xf numFmtId="0" fontId="6" fillId="29" borderId="23" pivotButton="0" quotePrefix="0" xfId="0"/>
    <xf numFmtId="0" fontId="6" fillId="27" borderId="23" pivotButton="0" quotePrefix="0" xfId="0"/>
    <xf numFmtId="0" fontId="4" fillId="28" borderId="1" applyAlignment="1" pivotButton="0" quotePrefix="0" xfId="0">
      <alignment horizontal="center" vertical="center"/>
    </xf>
    <xf numFmtId="2" fontId="4" fillId="28" borderId="1" applyAlignment="1" pivotButton="0" quotePrefix="0" xfId="0">
      <alignment horizontal="center" vertical="center"/>
    </xf>
    <xf numFmtId="2" fontId="6" fillId="26" borderId="44" pivotButton="0" quotePrefix="0" xfId="0"/>
    <xf numFmtId="0" fontId="6" fillId="27" borderId="45" pivotButton="0" quotePrefix="0" xfId="0"/>
    <xf numFmtId="2" fontId="4" fillId="30" borderId="6" applyAlignment="1" pivotButton="0" quotePrefix="0" xfId="0">
      <alignment horizontal="center" vertical="center"/>
    </xf>
    <xf numFmtId="0" fontId="6" fillId="31" borderId="28" applyAlignment="1" pivotButton="0" quotePrefix="0" xfId="0">
      <alignment wrapText="1"/>
    </xf>
    <xf numFmtId="0" fontId="4" fillId="32" borderId="28" applyAlignment="1" pivotButton="0" quotePrefix="0" xfId="0">
      <alignment horizontal="center"/>
    </xf>
    <xf numFmtId="0" fontId="19" fillId="15" borderId="44" pivotButton="0" quotePrefix="0" xfId="0"/>
    <xf numFmtId="0" fontId="6" fillId="18" borderId="23" applyAlignment="1" pivotButton="0" quotePrefix="0" xfId="0">
      <alignment wrapText="1"/>
    </xf>
    <xf numFmtId="0" fontId="19" fillId="33" borderId="28" pivotButton="0" quotePrefix="0" xfId="0"/>
    <xf numFmtId="0" fontId="4" fillId="34" borderId="28" applyAlignment="1" pivotButton="0" quotePrefix="0" xfId="0">
      <alignment horizontal="center"/>
    </xf>
    <xf numFmtId="0" fontId="49" fillId="0" borderId="0" pivotButton="0" quotePrefix="0" xfId="0"/>
    <xf numFmtId="0" fontId="50" fillId="0" borderId="0" applyAlignment="1" pivotButton="0" quotePrefix="0" xfId="0">
      <alignment horizontal="right"/>
    </xf>
    <xf numFmtId="0" fontId="51" fillId="0" borderId="0" pivotButton="0" quotePrefix="0" xfId="0"/>
    <xf numFmtId="0" fontId="50" fillId="0" borderId="46" pivotButton="0" quotePrefix="0" xfId="0"/>
    <xf numFmtId="0" fontId="50" fillId="0" borderId="47" pivotButton="0" quotePrefix="0" xfId="0"/>
    <xf numFmtId="0" fontId="50" fillId="0" borderId="48" pivotButton="0" quotePrefix="0" xfId="0"/>
    <xf numFmtId="0" fontId="50" fillId="0" borderId="49" pivotButton="0" quotePrefix="0" xfId="0"/>
    <xf numFmtId="0" fontId="50" fillId="0" borderId="50" pivotButton="0" quotePrefix="0" xfId="0"/>
    <xf numFmtId="0" fontId="51" fillId="0" borderId="51" pivotButton="0" quotePrefix="0" xfId="0"/>
    <xf numFmtId="0" fontId="51" fillId="0" borderId="33" pivotButton="0" quotePrefix="0" xfId="0"/>
    <xf numFmtId="0" fontId="51" fillId="0" borderId="52" pivotButton="0" quotePrefix="0" xfId="0"/>
    <xf numFmtId="0" fontId="51" fillId="0" borderId="18" pivotButton="0" quotePrefix="0" xfId="0"/>
    <xf numFmtId="0" fontId="51" fillId="0" borderId="53" pivotButton="0" quotePrefix="0" xfId="0"/>
    <xf numFmtId="0" fontId="52" fillId="0" borderId="0" pivotButton="0" quotePrefix="0" xfId="0"/>
    <xf numFmtId="0" fontId="51" fillId="0" borderId="54" pivotButton="0" quotePrefix="0" xfId="0"/>
    <xf numFmtId="0" fontId="51" fillId="0" borderId="55" pivotButton="0" quotePrefix="0" xfId="0"/>
    <xf numFmtId="0" fontId="51" fillId="0" borderId="15" pivotButton="0" quotePrefix="0" xfId="0"/>
    <xf numFmtId="0" fontId="51" fillId="0" borderId="56" pivotButton="0" quotePrefix="0" xfId="0"/>
    <xf numFmtId="0" fontId="51" fillId="0" borderId="57" pivotButton="0" quotePrefix="0" xfId="0"/>
    <xf numFmtId="1" fontId="5" fillId="0" borderId="0" pivotButton="0" quotePrefix="0" xfId="0"/>
    <xf numFmtId="0" fontId="5" fillId="35" borderId="58" applyAlignment="1" pivotButton="0" quotePrefix="0" xfId="0">
      <alignment horizontal="center"/>
    </xf>
    <xf numFmtId="1" fontId="5" fillId="35" borderId="59" pivotButton="0" quotePrefix="0" xfId="0"/>
    <xf numFmtId="0" fontId="5" fillId="35" borderId="29" applyAlignment="1" pivotButton="0" quotePrefix="0" xfId="0">
      <alignment horizontal="center"/>
    </xf>
    <xf numFmtId="0" fontId="5" fillId="35" borderId="31" pivotButton="0" quotePrefix="0" xfId="0"/>
    <xf numFmtId="0" fontId="5" fillId="0" borderId="58" applyAlignment="1" pivotButton="0" quotePrefix="0" xfId="0">
      <alignment horizontal="center"/>
    </xf>
    <xf numFmtId="0" fontId="5" fillId="0" borderId="59" pivotButton="0" quotePrefix="0" xfId="0"/>
    <xf numFmtId="0" fontId="5" fillId="0" borderId="29" applyAlignment="1" pivotButton="0" quotePrefix="0" xfId="0">
      <alignment horizontal="center"/>
    </xf>
    <xf numFmtId="0" fontId="5" fillId="0" borderId="31" pivotButton="0" quotePrefix="0" xfId="0"/>
    <xf numFmtId="0" fontId="5" fillId="35" borderId="59" pivotButton="0" quotePrefix="0" xfId="0"/>
    <xf numFmtId="0" fontId="1" fillId="17" borderId="2" applyAlignment="1" applyProtection="1" pivotButton="0" quotePrefix="0" xfId="0">
      <alignment horizontal="center" vertical="center" wrapText="1"/>
      <protection locked="0" hidden="0"/>
    </xf>
    <xf numFmtId="0" fontId="1" fillId="2" borderId="0" applyAlignment="1" applyProtection="1" pivotButton="0" quotePrefix="0" xfId="0">
      <alignment vertical="center"/>
      <protection locked="0" hidden="0"/>
    </xf>
    <xf numFmtId="0" fontId="2" fillId="2" borderId="0" applyAlignment="1" applyProtection="1" pivotButton="0" quotePrefix="0" xfId="0">
      <alignment horizontal="center"/>
      <protection locked="0" hidden="0"/>
    </xf>
    <xf numFmtId="0" fontId="0" fillId="0" borderId="0" pivotButton="0" quotePrefix="0" xfId="49"/>
    <xf numFmtId="0" fontId="0" fillId="0" borderId="0" applyAlignment="1" pivotButton="0" quotePrefix="0" xfId="49">
      <alignment horizontal="left"/>
    </xf>
    <xf numFmtId="0" fontId="6" fillId="8" borderId="0" applyAlignment="1" pivotButton="0" quotePrefix="0" xfId="0">
      <alignment vertical="center" wrapText="1"/>
    </xf>
    <xf numFmtId="0" fontId="4" fillId="0" borderId="0" applyAlignment="1" pivotButton="0" quotePrefix="0" xfId="0">
      <alignment horizontal="left" vertical="center"/>
    </xf>
    <xf numFmtId="0" fontId="7" fillId="0" borderId="0" pivotButton="0" quotePrefix="0" xfId="0"/>
    <xf numFmtId="0" fontId="13" fillId="7" borderId="0" applyAlignment="1" pivotButton="0" quotePrefix="0" xfId="0">
      <alignment horizontal="center" vertical="center" wrapText="1"/>
    </xf>
    <xf numFmtId="10" fontId="4" fillId="0" borderId="0" applyAlignment="1" pivotButton="0" quotePrefix="0" xfId="0">
      <alignment horizontal="center" vertical="center"/>
    </xf>
    <xf numFmtId="0" fontId="0" fillId="0" borderId="24" applyAlignment="1" pivotButton="0" quotePrefix="0" xfId="49">
      <alignment vertical="top"/>
    </xf>
    <xf numFmtId="0" fontId="0" fillId="0" borderId="0" pivotButton="0" quotePrefix="0" xfId="49"/>
    <xf numFmtId="0" fontId="0" fillId="0" borderId="26" applyAlignment="1" pivotButton="0" quotePrefix="0" xfId="49">
      <alignment vertical="top"/>
    </xf>
    <xf numFmtId="0" fontId="0" fillId="0" borderId="27" applyAlignment="1" pivotButton="0" quotePrefix="0" xfId="49">
      <alignment vertical="top"/>
    </xf>
    <xf numFmtId="0" fontId="0" fillId="0" borderId="0" applyAlignment="1" pivotButton="0" quotePrefix="0" xfId="49">
      <alignment horizontal="left"/>
    </xf>
    <xf numFmtId="0" fontId="0" fillId="0" borderId="29" applyAlignment="1" pivotButton="0" quotePrefix="0" xfId="49">
      <alignment vertical="top"/>
    </xf>
    <xf numFmtId="0" fontId="0" fillId="0" borderId="31" applyAlignment="1" pivotButton="0" quotePrefix="0" xfId="49">
      <alignment vertical="top"/>
    </xf>
    <xf numFmtId="0" fontId="44" fillId="0" borderId="0" pivotButton="0" quotePrefix="0" xfId="0"/>
    <xf numFmtId="0" fontId="49" fillId="0" borderId="0" pivotButton="0" quotePrefix="0" xfId="0"/>
    <xf numFmtId="0" fontId="50" fillId="0" borderId="0" applyAlignment="1" pivotButton="0" quotePrefix="0" xfId="0">
      <alignment horizontal="right"/>
    </xf>
    <xf numFmtId="0" fontId="51" fillId="0" borderId="0" pivotButton="0" quotePrefix="0" xfId="0"/>
    <xf numFmtId="0" fontId="52" fillId="0" borderId="0" pivotButton="0" quotePrefix="0" xfId="0"/>
    <xf numFmtId="0" fontId="48" fillId="26" borderId="60" pivotButton="0" quotePrefix="0" xfId="0"/>
    <xf numFmtId="0" fontId="6" fillId="27" borderId="61" pivotButton="0" quotePrefix="0" xfId="0"/>
    <xf numFmtId="0" fontId="19" fillId="26" borderId="1" pivotButton="0" quotePrefix="0" xfId="0"/>
    <xf numFmtId="0" fontId="6" fillId="29" borderId="22" pivotButton="0" quotePrefix="0" xfId="0"/>
    <xf numFmtId="0" fontId="19" fillId="27" borderId="62" pivotButton="0" quotePrefix="0" xfId="0"/>
    <xf numFmtId="0" fontId="6" fillId="29" borderId="33" pivotButton="0" quotePrefix="0" xfId="0"/>
    <xf numFmtId="0" fontId="6" fillId="27" borderId="62" pivotButton="0" quotePrefix="0" xfId="0"/>
    <xf numFmtId="2" fontId="6" fillId="26" borderId="1" pivotButton="0" quotePrefix="0" xfId="0"/>
    <xf numFmtId="0" fontId="6" fillId="27" borderId="63" pivotButton="0" quotePrefix="0" xfId="0"/>
    <xf numFmtId="2" fontId="4" fillId="30" borderId="1" applyAlignment="1" pivotButton="0" quotePrefix="0" xfId="0">
      <alignment horizontal="center" vertical="center"/>
    </xf>
    <xf numFmtId="0" fontId="6" fillId="31" borderId="17" applyAlignment="1" pivotButton="0" quotePrefix="0" xfId="0">
      <alignment wrapText="1"/>
    </xf>
    <xf numFmtId="0" fontId="4" fillId="32" borderId="1" applyAlignment="1" pivotButton="0" quotePrefix="0" xfId="0">
      <alignment horizontal="center"/>
    </xf>
    <xf numFmtId="0" fontId="19" fillId="15" borderId="1" pivotButton="0" quotePrefix="0" xfId="0"/>
    <xf numFmtId="0" fontId="6" fillId="18" borderId="33" applyAlignment="1" pivotButton="0" quotePrefix="0" xfId="0">
      <alignment wrapText="1"/>
    </xf>
    <xf numFmtId="0" fontId="19" fillId="33" borderId="17" pivotButton="0" quotePrefix="0" xfId="0"/>
    <xf numFmtId="0" fontId="4" fillId="34" borderId="1" applyAlignment="1" pivotButton="0" quotePrefix="0" xfId="0">
      <alignment horizontal="center"/>
    </xf>
    <xf numFmtId="0" fontId="4" fillId="0" borderId="1" pivotButton="0" quotePrefix="0" xfId="0"/>
    <xf numFmtId="0" fontId="0" fillId="0" borderId="2" applyAlignment="1" pivotButton="0" quotePrefix="0" xfId="0">
      <alignment horizontal="center"/>
    </xf>
    <xf numFmtId="0" fontId="0" fillId="0" borderId="0" applyAlignment="1" pivotButton="0" quotePrefix="0" xfId="0">
      <alignment horizontal="center"/>
    </xf>
    <xf numFmtId="0" fontId="6" fillId="3" borderId="2" applyAlignment="1" pivotButton="0" quotePrefix="0" xfId="0">
      <alignment vertical="center"/>
    </xf>
    <xf numFmtId="0" fontId="53" fillId="0" borderId="0" applyAlignment="1" pivotButton="0" quotePrefix="0" xfId="0">
      <alignment horizontal="left"/>
    </xf>
    <xf numFmtId="0" fontId="6" fillId="3" borderId="2" applyAlignment="1" pivotButton="0" quotePrefix="0" xfId="0">
      <alignment vertical="center" wrapText="1"/>
    </xf>
    <xf numFmtId="0" fontId="54" fillId="4" borderId="2" applyAlignment="1" pivotButton="0" quotePrefix="0" xfId="0">
      <alignment horizontal="left" vertical="center"/>
    </xf>
    <xf numFmtId="0" fontId="55" fillId="0" borderId="3" pivotButton="0" quotePrefix="0" xfId="0"/>
    <xf numFmtId="0" fontId="55" fillId="0" borderId="4" pivotButton="0" quotePrefix="0" xfId="0"/>
    <xf numFmtId="0" fontId="8" fillId="0" borderId="0" applyAlignment="1" pivotButton="0" quotePrefix="0" xfId="0">
      <alignment horizontal="center"/>
    </xf>
    <xf numFmtId="0" fontId="8" fillId="0" borderId="2" applyAlignment="1" pivotButton="0" quotePrefix="0" xfId="0">
      <alignment horizontal="center"/>
    </xf>
    <xf numFmtId="0" fontId="8" fillId="0" borderId="0" applyAlignment="1" pivotButton="0" quotePrefix="0" xfId="0">
      <alignment horizontal="center" shrinkToFit="1"/>
    </xf>
    <xf numFmtId="0" fontId="56" fillId="0" borderId="2" applyAlignment="1" pivotButton="0" quotePrefix="0" xfId="0">
      <alignment horizontal="center" vertical="center" wrapText="1"/>
    </xf>
    <xf numFmtId="0" fontId="56" fillId="0" borderId="21" applyAlignment="1" pivotButton="0" quotePrefix="0" xfId="0">
      <alignment horizontal="center" vertical="center" wrapText="1"/>
    </xf>
    <xf numFmtId="0" fontId="8" fillId="11" borderId="2" applyAlignment="1" pivotButton="0" quotePrefix="0" xfId="0">
      <alignment horizontal="center" vertical="center" wrapText="1"/>
    </xf>
    <xf numFmtId="0" fontId="8" fillId="12" borderId="2" applyAlignment="1" pivotButton="0" quotePrefix="0" xfId="0">
      <alignment horizontal="center" vertical="center" wrapText="1"/>
    </xf>
    <xf numFmtId="0" fontId="8" fillId="12" borderId="7" applyAlignment="1" pivotButton="0" quotePrefix="0" xfId="0">
      <alignment horizontal="center" vertical="center" wrapText="1"/>
    </xf>
    <xf numFmtId="0" fontId="8" fillId="12" borderId="4" applyAlignment="1" pivotButton="0" quotePrefix="0" xfId="0">
      <alignment horizontal="center" vertical="center" wrapText="1"/>
    </xf>
    <xf numFmtId="0" fontId="4" fillId="0" borderId="21" applyAlignment="1" pivotButton="0" quotePrefix="0" xfId="0">
      <alignment horizontal="center"/>
    </xf>
    <xf numFmtId="0" fontId="4" fillId="3" borderId="21" applyAlignment="1" pivotButton="0" quotePrefix="0" xfId="0">
      <alignment horizontal="center" vertical="center"/>
    </xf>
    <xf numFmtId="0" fontId="4" fillId="3" borderId="6" applyAlignment="1" pivotButton="0" quotePrefix="0" xfId="0">
      <alignment horizontal="center" vertical="center"/>
    </xf>
    <xf numFmtId="0" fontId="4" fillId="3" borderId="43" applyAlignment="1" pivotButton="0" quotePrefix="0" xfId="0">
      <alignment vertical="center"/>
    </xf>
    <xf numFmtId="0" fontId="4" fillId="12" borderId="1" applyAlignment="1" pivotButton="0" quotePrefix="0" xfId="0">
      <alignment horizontal="center"/>
    </xf>
    <xf numFmtId="2" fontId="4" fillId="0" borderId="4" applyAlignment="1" pivotButton="0" quotePrefix="0" xfId="0">
      <alignment horizontal="center" vertical="center"/>
    </xf>
    <xf numFmtId="2" fontId="4" fillId="0" borderId="60" applyAlignment="1" pivotButton="0" quotePrefix="0" xfId="0">
      <alignment horizontal="center" vertical="center"/>
    </xf>
    <xf numFmtId="0" fontId="22" fillId="14" borderId="64" applyAlignment="1" pivotButton="0" quotePrefix="0" xfId="0">
      <alignment horizontal="center" vertical="center" wrapText="1"/>
    </xf>
    <xf numFmtId="0" fontId="21" fillId="14" borderId="7" applyAlignment="1" pivotButton="0" quotePrefix="0" xfId="0">
      <alignment horizontal="center" vertical="center" wrapText="1"/>
    </xf>
    <xf numFmtId="0" fontId="21" fillId="14" borderId="44" applyAlignment="1" pivotButton="0" quotePrefix="0" xfId="0">
      <alignment horizontal="center" vertical="center" wrapText="1"/>
    </xf>
    <xf numFmtId="0" fontId="21" fillId="14" borderId="21" applyAlignment="1" pivotButton="0" quotePrefix="0" xfId="0">
      <alignment horizontal="center" vertical="center" wrapText="1"/>
    </xf>
    <xf numFmtId="0" fontId="22" fillId="14" borderId="2" applyAlignment="1" pivotButton="0" quotePrefix="0" xfId="0">
      <alignment horizontal="center" vertical="center" wrapText="1"/>
    </xf>
    <xf numFmtId="0" fontId="21" fillId="14" borderId="4" applyAlignment="1" pivotButton="0" quotePrefix="0" xfId="0">
      <alignment horizontal="center" vertical="center" wrapText="1"/>
    </xf>
    <xf numFmtId="0" fontId="33" fillId="0" borderId="2" applyAlignment="1" pivotButton="0" quotePrefix="0" xfId="0">
      <alignment horizontal="center"/>
    </xf>
    <xf numFmtId="0" fontId="8" fillId="36" borderId="21" applyAlignment="1" pivotButton="0" quotePrefix="0" xfId="0">
      <alignment horizontal="center" vertical="center" wrapText="1"/>
    </xf>
    <xf numFmtId="0" fontId="8" fillId="0" borderId="2" applyAlignment="1" pivotButton="0" quotePrefix="0" xfId="0">
      <alignment horizontal="center" vertical="center"/>
    </xf>
    <xf numFmtId="0" fontId="22" fillId="36" borderId="2" applyAlignment="1" pivotButton="0" quotePrefix="0" xfId="0">
      <alignment horizontal="center" wrapText="1"/>
    </xf>
    <xf numFmtId="0" fontId="4" fillId="0" borderId="64" applyAlignment="1" pivotButton="0" quotePrefix="0" xfId="0">
      <alignment horizontal="center" vertical="center"/>
    </xf>
    <xf numFmtId="0" fontId="57" fillId="0" borderId="64" applyAlignment="1" pivotButton="0" quotePrefix="0" xfId="0">
      <alignment horizontal="left" vertical="center" wrapText="1"/>
    </xf>
    <xf numFmtId="0" fontId="4" fillId="0" borderId="2" applyAlignment="1" pivotButton="0" quotePrefix="0" xfId="0">
      <alignment horizontal="center" vertical="center"/>
    </xf>
    <xf numFmtId="0" fontId="57" fillId="0" borderId="2" applyAlignment="1" pivotButton="0" quotePrefix="0" xfId="0">
      <alignment horizontal="left" vertical="center" wrapText="1"/>
    </xf>
    <xf numFmtId="0" fontId="21" fillId="0" borderId="0" applyAlignment="1" pivotButton="0" quotePrefix="0" xfId="0">
      <alignment horizontal="left" vertical="center" wrapText="1"/>
    </xf>
    <xf numFmtId="0" fontId="21" fillId="0" borderId="0" applyAlignment="1" pivotButton="0" quotePrefix="0" xfId="0">
      <alignment horizontal="center" vertical="center" wrapText="1"/>
    </xf>
    <xf numFmtId="0" fontId="4" fillId="0" borderId="0" applyAlignment="1" pivotButton="0" quotePrefix="0" xfId="0">
      <alignment horizontal="center"/>
    </xf>
    <xf numFmtId="0" fontId="21" fillId="0" borderId="0" applyAlignment="1" pivotButton="0" quotePrefix="0" xfId="0">
      <alignment horizontal="center"/>
    </xf>
    <xf numFmtId="0" fontId="21" fillId="0" borderId="0" applyAlignment="1" pivotButton="0" quotePrefix="0" xfId="0">
      <alignment horizontal="left"/>
    </xf>
    <xf numFmtId="0" fontId="58" fillId="0" borderId="0" applyAlignment="1" pivotButton="0" quotePrefix="0" xfId="0">
      <alignment horizontal="left"/>
    </xf>
    <xf numFmtId="0" fontId="4" fillId="0" borderId="16" applyAlignment="1" pivotButton="0" quotePrefix="0" xfId="0">
      <alignment horizontal="center" vertical="center"/>
    </xf>
    <xf numFmtId="0" fontId="56" fillId="0" borderId="1" applyAlignment="1" pivotButton="0" quotePrefix="0" xfId="0">
      <alignment horizontal="center" vertical="center" wrapText="1"/>
    </xf>
    <xf numFmtId="0" fontId="8" fillId="9" borderId="64" applyAlignment="1" pivotButton="0" quotePrefix="0" xfId="0">
      <alignment horizontal="center" vertical="top" wrapText="1"/>
    </xf>
    <xf numFmtId="0" fontId="8" fillId="9" borderId="44" applyAlignment="1" pivotButton="0" quotePrefix="0" xfId="0">
      <alignment horizontal="center" vertical="top" wrapText="1"/>
    </xf>
    <xf numFmtId="0" fontId="8" fillId="9" borderId="7" applyAlignment="1" pivotButton="0" quotePrefix="0" xfId="0">
      <alignment horizontal="center" vertical="top" wrapText="1"/>
    </xf>
    <xf numFmtId="0" fontId="8" fillId="0" borderId="4" applyAlignment="1" pivotButton="0" quotePrefix="0" xfId="0">
      <alignment horizontal="center" vertical="center" wrapText="1"/>
    </xf>
    <xf numFmtId="0" fontId="4" fillId="0" borderId="2" applyAlignment="1" pivotButton="0" quotePrefix="0" xfId="0">
      <alignment horizontal="center"/>
    </xf>
    <xf numFmtId="0" fontId="51" fillId="17" borderId="1" applyAlignment="1" pivotButton="0" quotePrefix="0" xfId="0">
      <alignment horizontal="center"/>
    </xf>
    <xf numFmtId="0" fontId="4" fillId="4" borderId="4" applyAlignment="1" pivotButton="0" quotePrefix="0" xfId="0">
      <alignment horizontal="center" vertical="center"/>
    </xf>
    <xf numFmtId="0" fontId="33" fillId="16" borderId="1" applyAlignment="1" pivotButton="0" quotePrefix="0" xfId="0">
      <alignment horizontal="center"/>
    </xf>
    <xf numFmtId="0" fontId="33" fillId="4" borderId="4" pivotButton="0" quotePrefix="0" xfId="0"/>
    <xf numFmtId="0" fontId="33" fillId="16" borderId="4" applyAlignment="1" pivotButton="0" quotePrefix="0" xfId="0">
      <alignment horizontal="center"/>
    </xf>
    <xf numFmtId="0" fontId="33" fillId="16" borderId="7" applyAlignment="1" pivotButton="0" quotePrefix="0" xfId="0">
      <alignment horizontal="center"/>
    </xf>
    <xf numFmtId="0" fontId="33" fillId="4" borderId="44" pivotButton="0" quotePrefix="0" xfId="0"/>
    <xf numFmtId="0" fontId="33" fillId="16" borderId="44" applyAlignment="1" pivotButton="0" quotePrefix="0" xfId="0">
      <alignment horizontal="center"/>
    </xf>
    <xf numFmtId="0" fontId="59" fillId="16" borderId="7" applyAlignment="1" pivotButton="0" quotePrefix="0" xfId="0">
      <alignment horizontal="center"/>
    </xf>
    <xf numFmtId="0" fontId="59" fillId="16" borderId="44" applyAlignment="1" pivotButton="0" quotePrefix="0" xfId="0">
      <alignment horizontal="center"/>
    </xf>
    <xf numFmtId="0" fontId="33" fillId="4" borderId="7" pivotButton="0" quotePrefix="0" xfId="0"/>
    <xf numFmtId="0" fontId="60" fillId="17" borderId="64" applyAlignment="1" pivotButton="0" quotePrefix="0" xfId="0">
      <alignment horizontal="center"/>
    </xf>
    <xf numFmtId="0" fontId="60" fillId="17" borderId="7" applyAlignment="1" pivotButton="0" quotePrefix="0" xfId="0">
      <alignment horizontal="center"/>
    </xf>
    <xf numFmtId="0" fontId="60" fillId="17" borderId="2" applyAlignment="1" pivotButton="0" quotePrefix="0" xfId="0">
      <alignment horizontal="center"/>
    </xf>
    <xf numFmtId="0" fontId="60" fillId="17" borderId="1" applyAlignment="1" pivotButton="0" quotePrefix="0" xfId="0">
      <alignment horizontal="center"/>
    </xf>
    <xf numFmtId="0" fontId="4" fillId="17" borderId="1" applyAlignment="1" pivotButton="0" quotePrefix="0" xfId="0">
      <alignment horizontal="center" vertical="center"/>
    </xf>
    <xf numFmtId="0" fontId="4" fillId="4" borderId="64" applyAlignment="1" pivotButton="0" quotePrefix="0" xfId="0">
      <alignment horizontal="center" vertical="center"/>
    </xf>
    <xf numFmtId="0" fontId="4" fillId="4" borderId="2" applyAlignment="1" pivotButton="0" quotePrefix="0" xfId="0">
      <alignment horizontal="center" vertical="center"/>
    </xf>
    <xf numFmtId="0" fontId="4" fillId="4" borderId="60" applyAlignment="1" pivotButton="0" quotePrefix="0" xfId="0">
      <alignment horizontal="center" vertical="center"/>
    </xf>
    <xf numFmtId="0" fontId="22" fillId="14" borderId="2" applyAlignment="1" pivotButton="0" quotePrefix="0" xfId="0">
      <alignment horizontal="left" vertical="center" wrapText="1"/>
    </xf>
    <xf numFmtId="0" fontId="4" fillId="14" borderId="2" applyAlignment="1" pivotButton="0" quotePrefix="0" xfId="0">
      <alignment horizontal="center" vertical="center"/>
    </xf>
    <xf numFmtId="0" fontId="4" fillId="14" borderId="1" applyAlignment="1" pivotButton="0" quotePrefix="0" xfId="0">
      <alignment horizontal="center" vertical="center"/>
    </xf>
    <xf numFmtId="0" fontId="4" fillId="14" borderId="4" applyAlignment="1" pivotButton="0" quotePrefix="0" xfId="0">
      <alignment horizontal="center" vertical="center"/>
    </xf>
    <xf numFmtId="0" fontId="22" fillId="4" borderId="2" applyAlignment="1" pivotButton="0" quotePrefix="0" xfId="0">
      <alignment horizontal="left" vertical="center" wrapText="1"/>
    </xf>
    <xf numFmtId="0" fontId="22" fillId="36" borderId="2" applyAlignment="1" pivotButton="0" quotePrefix="0" xfId="0">
      <alignment horizontal="center" vertical="top" wrapText="1"/>
    </xf>
    <xf numFmtId="0" fontId="8" fillId="36" borderId="21" applyAlignment="1" pivotButton="0" quotePrefix="0" xfId="0">
      <alignment horizontal="center" vertical="top" wrapText="1"/>
    </xf>
    <xf numFmtId="0" fontId="8" fillId="36" borderId="0" applyAlignment="1" pivotButton="0" quotePrefix="0" xfId="0">
      <alignment horizontal="center" vertical="top" wrapText="1"/>
    </xf>
    <xf numFmtId="0" fontId="8" fillId="36" borderId="2" applyAlignment="1" pivotButton="0" quotePrefix="0" xfId="0">
      <alignment horizontal="center" vertical="top" wrapText="1"/>
    </xf>
    <xf numFmtId="0" fontId="8" fillId="0" borderId="0" applyAlignment="1" pivotButton="0" quotePrefix="0" xfId="0">
      <alignment horizontal="center" vertical="top" wrapText="1"/>
    </xf>
    <xf numFmtId="0" fontId="22" fillId="37" borderId="2" applyAlignment="1" pivotButton="0" quotePrefix="0" xfId="0">
      <alignment horizontal="center" vertical="center" wrapText="1"/>
    </xf>
    <xf numFmtId="0" fontId="22" fillId="9" borderId="2" applyAlignment="1" pivotButton="0" quotePrefix="0" xfId="0">
      <alignment horizontal="center" vertical="center" wrapText="1"/>
    </xf>
    <xf numFmtId="2" fontId="4" fillId="14" borderId="1" applyAlignment="1" pivotButton="0" quotePrefix="0" xfId="0">
      <alignment horizontal="center" vertical="center"/>
    </xf>
    <xf numFmtId="0" fontId="61" fillId="4" borderId="3" applyAlignment="1" pivotButton="0" quotePrefix="0" xfId="0">
      <alignment horizontal="center" vertical="center" wrapText="1"/>
    </xf>
    <xf numFmtId="0" fontId="21" fillId="37" borderId="2" applyAlignment="1" pivotButton="0" quotePrefix="0" xfId="0">
      <alignment horizontal="center" vertical="center"/>
    </xf>
    <xf numFmtId="0" fontId="21" fillId="9" borderId="2" applyAlignment="1" pivotButton="0" quotePrefix="0" xfId="0">
      <alignment horizontal="center" vertical="center" wrapText="1"/>
    </xf>
    <xf numFmtId="0" fontId="21" fillId="37" borderId="2" applyAlignment="1" pivotButton="0" quotePrefix="0" xfId="0">
      <alignment horizontal="center" vertical="center" wrapText="1"/>
    </xf>
    <xf numFmtId="0" fontId="4" fillId="4" borderId="16" applyAlignment="1" pivotButton="0" quotePrefix="0" xfId="0">
      <alignment horizontal="center" vertical="center" wrapText="1"/>
    </xf>
    <xf numFmtId="0" fontId="4" fillId="4" borderId="0" applyAlignment="1" pivotButton="0" quotePrefix="0" xfId="0">
      <alignment horizontal="center" vertical="center" wrapText="1"/>
    </xf>
    <xf numFmtId="0" fontId="61" fillId="4" borderId="2" applyAlignment="1" pivotButton="0" quotePrefix="0" xfId="0">
      <alignment horizontal="center" vertical="center" wrapText="1"/>
    </xf>
    <xf numFmtId="0" fontId="33" fillId="0" borderId="0" pivotButton="0" quotePrefix="0" xfId="0"/>
    <xf numFmtId="0" fontId="4" fillId="4" borderId="2" applyAlignment="1" pivotButton="0" quotePrefix="0" xfId="0">
      <alignment horizontal="left" vertical="center" wrapText="1"/>
    </xf>
    <xf numFmtId="0" fontId="4" fillId="4" borderId="1" applyAlignment="1" pivotButton="0" quotePrefix="0" xfId="0">
      <alignment horizontal="left" vertical="center" wrapText="1"/>
    </xf>
    <xf numFmtId="0" fontId="4" fillId="0" borderId="0" applyAlignment="1" pivotButton="0" quotePrefix="0" xfId="0">
      <alignment horizontal="left"/>
    </xf>
    <xf numFmtId="0" fontId="54" fillId="38" borderId="2" applyAlignment="1" pivotButton="0" quotePrefix="0" xfId="0">
      <alignment horizontal="center"/>
    </xf>
    <xf numFmtId="0" fontId="54" fillId="38" borderId="3" applyAlignment="1" pivotButton="0" quotePrefix="0" xfId="0">
      <alignment horizontal="center"/>
    </xf>
    <xf numFmtId="0" fontId="54" fillId="38" borderId="4" applyAlignment="1" pivotButton="0" quotePrefix="0" xfId="0">
      <alignment horizontal="center"/>
    </xf>
    <xf numFmtId="0" fontId="4" fillId="39" borderId="64" applyAlignment="1" pivotButton="0" quotePrefix="0" xfId="0">
      <alignment horizontal="center"/>
    </xf>
    <xf numFmtId="0" fontId="4" fillId="39" borderId="0" applyAlignment="1" pivotButton="0" quotePrefix="0" xfId="0">
      <alignment horizontal="center"/>
    </xf>
    <xf numFmtId="0" fontId="4" fillId="39" borderId="44" applyAlignment="1" pivotButton="0" quotePrefix="0" xfId="0">
      <alignment horizontal="center"/>
    </xf>
    <xf numFmtId="0" fontId="4" fillId="40" borderId="64" applyAlignment="1" pivotButton="0" quotePrefix="0" xfId="0">
      <alignment horizontal="center"/>
    </xf>
    <xf numFmtId="2" fontId="4" fillId="0" borderId="2" applyAlignment="1" pivotButton="0" quotePrefix="0" xfId="0">
      <alignment horizontal="center"/>
    </xf>
    <xf numFmtId="2" fontId="4" fillId="0" borderId="0" applyAlignment="1" pivotButton="0" quotePrefix="0" xfId="0">
      <alignment horizontal="center"/>
    </xf>
    <xf numFmtId="2" fontId="4" fillId="0" borderId="44" applyAlignment="1" pivotButton="0" quotePrefix="0" xfId="0">
      <alignment horizontal="center"/>
    </xf>
    <xf numFmtId="0" fontId="4" fillId="40" borderId="16" applyAlignment="1" pivotButton="0" quotePrefix="0" xfId="0">
      <alignment horizontal="center"/>
    </xf>
    <xf numFmtId="2" fontId="4" fillId="0" borderId="21" applyAlignment="1" pivotButton="0" quotePrefix="0" xfId="0">
      <alignment horizontal="center"/>
    </xf>
    <xf numFmtId="2" fontId="4" fillId="0" borderId="65" applyAlignment="1" pivotButton="0" quotePrefix="0" xfId="0">
      <alignment horizontal="center"/>
    </xf>
    <xf numFmtId="0" fontId="40" fillId="0" borderId="0" pivotButton="0" quotePrefix="0" xfId="0"/>
    <xf numFmtId="0" fontId="62" fillId="0" borderId="0" pivotButton="0" quotePrefix="0" xfId="0"/>
    <xf numFmtId="0" fontId="63" fillId="0" borderId="0" applyAlignment="1" pivotButton="0" quotePrefix="0" xfId="0">
      <alignment horizontal="left"/>
    </xf>
    <xf numFmtId="0" fontId="64" fillId="0" borderId="0" applyAlignment="1" pivotButton="0" quotePrefix="0" xfId="0">
      <alignment horizontal="left"/>
    </xf>
    <xf numFmtId="0" fontId="65" fillId="0" borderId="0" pivotButton="0" quotePrefix="0" xfId="0"/>
    <xf numFmtId="0" fontId="40" fillId="0" borderId="0" applyAlignment="1" pivotButton="0" quotePrefix="0" xfId="0">
      <alignment horizontal="center" vertical="top" wrapText="1"/>
    </xf>
    <xf numFmtId="0" fontId="33" fillId="21" borderId="0" pivotButton="0" quotePrefix="0" xfId="0"/>
    <xf numFmtId="0" fontId="33" fillId="0" borderId="0" applyAlignment="1" pivotButton="0" quotePrefix="0" xfId="0">
      <alignment horizontal="center"/>
    </xf>
    <xf numFmtId="0" fontId="66" fillId="0" borderId="0" pivotButton="0" quotePrefix="0" xfId="6"/>
    <xf numFmtId="0" fontId="67" fillId="0" borderId="0" applyAlignment="1" pivotButton="0" quotePrefix="0" xfId="0">
      <alignment horizontal="left" vertical="center" wrapText="1"/>
    </xf>
    <xf numFmtId="0" fontId="3" fillId="21" borderId="0" pivotButton="0" quotePrefix="0" xfId="0"/>
    <xf numFmtId="0" fontId="68" fillId="0" borderId="0" pivotButton="0" quotePrefix="0" xfId="0"/>
    <xf numFmtId="0" fontId="33" fillId="41" borderId="0" applyAlignment="1" pivotButton="0" quotePrefix="0" xfId="0">
      <alignment horizontal="center"/>
    </xf>
    <xf numFmtId="0" fontId="69" fillId="0" borderId="0" pivotButton="0" quotePrefix="0" xfId="0"/>
    <xf numFmtId="0" fontId="53" fillId="0" borderId="0" pivotButton="0" quotePrefix="0" xfId="0"/>
    <xf numFmtId="0" fontId="0" fillId="0" borderId="3" pivotButton="0" quotePrefix="0" xfId="0"/>
    <xf numFmtId="0" fontId="4" fillId="0" borderId="1" applyAlignment="1" pivotButton="0" quotePrefix="0" xfId="0">
      <alignment horizontal="left" vertical="center"/>
    </xf>
    <xf numFmtId="0" fontId="0" fillId="0" borderId="4" pivotButton="0" quotePrefix="0" xfId="0"/>
    <xf numFmtId="0" fontId="0" fillId="0" borderId="43" pivotButton="0" quotePrefix="0" xfId="0"/>
    <xf numFmtId="0" fontId="0" fillId="0" borderId="16" pivotButton="0" quotePrefix="0" xfId="0"/>
    <xf numFmtId="0" fontId="0" fillId="0" borderId="5" pivotButton="0" quotePrefix="0" xfId="0"/>
    <xf numFmtId="0" fontId="4" fillId="4" borderId="1" applyAlignment="1" pivotButton="0" quotePrefix="0" xfId="0">
      <alignment horizontal="left" vertical="center"/>
    </xf>
    <xf numFmtId="0" fontId="12" fillId="4" borderId="1" applyAlignment="1" pivotButton="0" quotePrefix="0" xfId="6">
      <alignment horizontal="left" vertical="center" wrapText="1"/>
    </xf>
    <xf numFmtId="0" fontId="16" fillId="0" borderId="1" applyAlignment="1" pivotButton="0" quotePrefix="0" xfId="0">
      <alignment horizontal="center" vertical="center" wrapText="1"/>
    </xf>
    <xf numFmtId="0" fontId="21" fillId="14" borderId="83" applyAlignment="1" pivotButton="0" quotePrefix="0" xfId="0">
      <alignment horizontal="center" vertical="center" wrapText="1"/>
    </xf>
    <xf numFmtId="0" fontId="0" fillId="0" borderId="9" pivotButton="0" quotePrefix="0" xfId="0"/>
    <xf numFmtId="0" fontId="0" fillId="0" borderId="10" pivotButton="0" quotePrefix="0" xfId="0"/>
    <xf numFmtId="0" fontId="0" fillId="0" borderId="11" pivotButton="0" quotePrefix="0" xfId="0"/>
    <xf numFmtId="0" fontId="0" fillId="0" borderId="12" pivotButton="0" quotePrefix="0" xfId="0"/>
    <xf numFmtId="0" fontId="0" fillId="0" borderId="13" pivotButton="0" quotePrefix="0" xfId="0"/>
    <xf numFmtId="0" fontId="0" fillId="0" borderId="14" pivotButton="0" quotePrefix="0" xfId="0"/>
    <xf numFmtId="0" fontId="0" fillId="0" borderId="15" pivotButton="0" quotePrefix="0" xfId="0"/>
    <xf numFmtId="0" fontId="24" fillId="7" borderId="28" applyAlignment="1" pivotButton="0" quotePrefix="0" xfId="0">
      <alignment horizontal="center" vertical="center" wrapText="1" indent="5"/>
    </xf>
    <xf numFmtId="0" fontId="0" fillId="0" borderId="18" pivotButton="0" quotePrefix="0" xfId="0"/>
    <xf numFmtId="0" fontId="0" fillId="0" borderId="22" pivotButton="0" quotePrefix="0" xfId="0"/>
    <xf numFmtId="0" fontId="28" fillId="17" borderId="1" applyAlignment="1" applyProtection="1" pivotButton="0" quotePrefix="0" xfId="0">
      <alignment horizontal="left" vertical="center" wrapText="1"/>
      <protection locked="0" hidden="0"/>
    </xf>
    <xf numFmtId="0" fontId="0" fillId="0" borderId="3" applyProtection="1" pivotButton="0" quotePrefix="0" xfId="0">
      <protection locked="0" hidden="0"/>
    </xf>
    <xf numFmtId="0" fontId="0" fillId="0" borderId="4" applyProtection="1" pivotButton="0" quotePrefix="0" xfId="0">
      <protection locked="0" hidden="0"/>
    </xf>
    <xf numFmtId="0" fontId="29" fillId="15" borderId="28" applyAlignment="1" pivotButton="0" quotePrefix="0" xfId="0">
      <alignment horizontal="center" vertical="center" wrapText="1"/>
    </xf>
    <xf numFmtId="0" fontId="1" fillId="17" borderId="1" applyAlignment="1" applyProtection="1" pivotButton="0" quotePrefix="0" xfId="0">
      <alignment horizontal="center" vertical="center"/>
      <protection locked="0" hidden="0"/>
    </xf>
    <xf numFmtId="0" fontId="0" fillId="0" borderId="74" pivotButton="0" quotePrefix="0" xfId="0"/>
    <xf numFmtId="0" fontId="0" fillId="0" borderId="75" pivotButton="0" quotePrefix="0" xfId="0"/>
    <xf numFmtId="0" fontId="0" fillId="0" borderId="33" pivotButton="0" quotePrefix="0" xfId="0"/>
    <xf numFmtId="0" fontId="0" fillId="0" borderId="63" pivotButton="0" quotePrefix="0" xfId="0"/>
    <xf numFmtId="0" fontId="0" fillId="0" borderId="19" pivotButton="0" quotePrefix="0" xfId="0"/>
    <xf numFmtId="0" fontId="0" fillId="0" borderId="20" pivotButton="0" quotePrefix="0" xfId="0"/>
    <xf numFmtId="0" fontId="0" fillId="0" borderId="56" pivotButton="0" quotePrefix="0" xfId="0"/>
    <xf numFmtId="0" fontId="0" fillId="0" borderId="42" pivotButton="0" quotePrefix="0" xfId="0"/>
    <xf numFmtId="0" fontId="0" fillId="0" borderId="62" pivotButton="0" quotePrefix="0" xfId="0"/>
    <xf numFmtId="0" fontId="0" fillId="0" borderId="75" applyProtection="1" pivotButton="0" quotePrefix="0" xfId="0">
      <protection locked="0" hidden="0"/>
    </xf>
    <xf numFmtId="0" fontId="0" fillId="0" borderId="33"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0" fillId="0" borderId="18" applyProtection="1" pivotButton="0" quotePrefix="0" xfId="0">
      <protection locked="0" hidden="0"/>
    </xf>
    <xf numFmtId="0" fontId="0" fillId="0" borderId="22" applyProtection="1" pivotButton="0" quotePrefix="0" xfId="0">
      <protection locked="0" hidden="0"/>
    </xf>
    <xf numFmtId="0" fontId="0" fillId="0" borderId="62" applyProtection="1" pivotButton="0" quotePrefix="0" xfId="0">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46" fillId="0" borderId="1" applyAlignment="1" pivotButton="0" quotePrefix="0" xfId="0">
      <alignment horizontal="center" vertical="center" wrapText="1"/>
    </xf>
    <xf numFmtId="0" fontId="50" fillId="0" borderId="80" pivotButton="0" quotePrefix="0" xfId="0"/>
    <xf numFmtId="0" fontId="0" fillId="0" borderId="47" pivotButton="0" quotePrefix="0" xfId="0"/>
    <xf numFmtId="0" fontId="0" fillId="0" borderId="48" pivotButton="0" quotePrefix="0" xfId="0"/>
    <xf numFmtId="0" fontId="0" fillId="0" borderId="50" pivotButton="0" quotePrefix="0" xfId="0"/>
    <xf numFmtId="0" fontId="0" fillId="0" borderId="53" pivotButton="0" quotePrefix="0" xfId="0"/>
    <xf numFmtId="0" fontId="0" fillId="0" borderId="57" pivotButton="0" quotePrefix="0" xfId="0"/>
    <xf numFmtId="0" fontId="1" fillId="17" borderId="1" applyAlignment="1" applyProtection="1" pivotButton="0" quotePrefix="0" xfId="0">
      <alignment horizontal="center" vertical="center" wrapText="1"/>
      <protection locked="0" hidden="0"/>
    </xf>
    <xf numFmtId="0" fontId="31" fillId="17" borderId="1" applyAlignment="1" applyProtection="1" pivotButton="0" quotePrefix="0" xfId="0">
      <alignment horizontal="center" vertical="center"/>
      <protection locked="0" hidden="0"/>
    </xf>
  </cellXfs>
  <cellStyles count="50">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2 2" xfId="49"/>
  </cellStyles>
  <dxfs count="10">
    <dxf>
      <fill>
        <patternFill patternType="solid">
          <fgColor rgb="FFFF9900"/>
          <bgColor rgb="FFFF9900"/>
        </patternFill>
      </fill>
    </dxf>
    <dxf>
      <font>
        <color theme="0"/>
      </font>
      <fill>
        <patternFill patternType="solid">
          <bgColor rgb="FFC00000"/>
        </patternFill>
      </fill>
    </dxf>
    <dxf>
      <fill>
        <patternFill patternType="solid">
          <bgColor rgb="FFFFC7CE"/>
        </patternFill>
      </fill>
    </dxf>
    <dxf>
      <font>
        <color theme="1"/>
      </font>
      <fill>
        <patternFill patternType="solid">
          <bgColor theme="5"/>
        </patternFill>
      </fill>
    </dxf>
    <dxf>
      <font>
        <color rgb="FF9C5700"/>
      </font>
      <fill>
        <patternFill patternType="solid">
          <bgColor rgb="FFFFEB9C"/>
        </patternFill>
      </fill>
    </dxf>
    <dxf>
      <font>
        <color rgb="FF006100"/>
      </font>
      <fill>
        <patternFill patternType="solid">
          <bgColor rgb="FFC6EFCE"/>
        </patternFill>
      </fill>
    </dxf>
    <dxf>
      <font>
        <color rgb="FF006100"/>
      </font>
      <fill>
        <patternFill patternType="solid">
          <bgColor rgb="FFC6EFCE"/>
        </patternFill>
      </fill>
    </dxf>
    <dxf>
      <font>
        <color theme="1"/>
      </font>
      <fill>
        <patternFill patternType="solid">
          <bgColor rgb="FFFF0000"/>
        </patternFill>
      </fill>
    </dxf>
    <dxf>
      <fill>
        <patternFill patternType="solid">
          <bgColor rgb="FFC92AAF"/>
        </patternFill>
      </fill>
    </dxf>
    <dxf>
      <font>
        <color rgb="FF9C0006"/>
      </font>
      <fill>
        <patternFill patternType="solid">
          <bgColor rgb="FFFFC7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92D050"/>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4.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5.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6.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7.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8.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9.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_rels/sheet10.xml.rels><Relationships xmlns="http://schemas.openxmlformats.org/package/2006/relationships"><Relationship Type="http://schemas.openxmlformats.org/officeDocument/2006/relationships/hyperlink" Target="https://classroom.synonym.com/remediation-activities-8065079.html?fbclid=IwAR1Zsdeb2_vH_BnUKqNEG91d1JbkTx20ci9tfLf1WBX4UcmDou05SvK0a2c." TargetMode="External" Id="rId1" /></Relationships>
</file>

<file path=xl/worksheets/sheet1.xml><?xml version="1.0" encoding="utf-8"?>
<worksheet xmlns="http://schemas.openxmlformats.org/spreadsheetml/2006/main">
  <sheetPr codeName="Sheet4">
    <tabColor rgb="FFFFD965"/>
    <outlinePr summaryBelow="1" summaryRight="1"/>
    <pageSetUpPr/>
  </sheetPr>
  <dimension ref="A1:S35"/>
  <sheetViews>
    <sheetView workbookViewId="0">
      <selection activeCell="A1" sqref="A1"/>
    </sheetView>
  </sheetViews>
  <sheetFormatPr baseColWidth="8" defaultColWidth="14.5047619047619" defaultRowHeight="15" customHeight="1"/>
  <cols>
    <col width="8.66666666666667" customWidth="1" style="1" min="1" max="3"/>
    <col width="54.6666666666667" customWidth="1" style="1" min="4" max="4"/>
    <col width="8.66666666666667" customWidth="1" style="1" min="5" max="26"/>
  </cols>
  <sheetData>
    <row r="1">
      <c r="B1" s="397" t="inlineStr">
        <is>
          <t>PALIPARAN III SENIOR HIGH SCHOOL</t>
        </is>
      </c>
    </row>
    <row r="2">
      <c r="B2" s="397" t="inlineStr">
        <is>
          <t>ELECTRONIC QUARTERLY WRITTEN ASSESSMENT RESULT TOOL (EQWART) - SECOND SEMESTER - QUARTER 2</t>
        </is>
      </c>
    </row>
    <row r="3" ht="21" customHeight="1" s="1">
      <c r="B3" s="398" t="inlineStr">
        <is>
          <t>GRADE 11</t>
        </is>
      </c>
    </row>
    <row r="4" ht="26.25" customHeight="1" s="1">
      <c r="B4" s="399" t="inlineStr">
        <is>
          <t>STEP 1: SELECT THE LEARNING AREA AND ENCODE ITEM ANALYSIS RESULT OF QUARTER 1 ASSESSMENT</t>
        </is>
      </c>
      <c r="C4" s="400" t="n"/>
      <c r="D4" s="401" t="n"/>
      <c r="E4" s="401" t="n"/>
      <c r="F4" s="401" t="n"/>
      <c r="G4" s="401" t="n"/>
      <c r="H4" s="401" t="n"/>
      <c r="I4" s="401" t="n"/>
      <c r="J4" s="401" t="n"/>
      <c r="K4" s="401" t="n"/>
      <c r="L4" s="401" t="n"/>
      <c r="M4" s="401" t="n"/>
      <c r="N4" s="401" t="n"/>
      <c r="O4" s="401" t="n"/>
      <c r="P4" s="401" t="n"/>
    </row>
    <row r="5" ht="30" customHeight="1" s="1">
      <c r="B5" s="402" t="n"/>
      <c r="C5" s="402" t="inlineStr">
        <is>
          <t>SUBJECT NO.</t>
        </is>
      </c>
      <c r="D5" s="402" t="inlineStr">
        <is>
          <t>LEARNING AREA</t>
        </is>
      </c>
      <c r="E5" s="402" t="n"/>
      <c r="F5" s="402" t="n"/>
      <c r="G5" s="402" t="n"/>
      <c r="H5" s="402" t="n"/>
      <c r="I5" s="402" t="n"/>
      <c r="J5" s="402" t="n"/>
      <c r="K5" s="402" t="n"/>
      <c r="L5" s="402" t="n"/>
      <c r="M5" s="402" t="n"/>
      <c r="N5" s="402" t="n"/>
      <c r="O5" s="402" t="n"/>
      <c r="P5" s="402" t="n"/>
    </row>
    <row r="6">
      <c r="B6" s="403" t="n"/>
      <c r="C6" s="404" t="n">
        <v>1</v>
      </c>
      <c r="D6" s="405" t="n"/>
      <c r="K6" s="406" t="inlineStr">
        <is>
          <t>NOTE: Please communicate to MAM HERMA any errors found in this template. Thanks</t>
        </is>
      </c>
    </row>
    <row r="7">
      <c r="B7" s="403" t="n"/>
      <c r="C7" s="404" t="n">
        <v>2</v>
      </c>
      <c r="D7" s="405" t="n"/>
    </row>
    <row r="8">
      <c r="B8" s="403" t="n"/>
      <c r="C8" s="404" t="n">
        <v>3</v>
      </c>
      <c r="D8" s="405" t="n"/>
    </row>
    <row r="9">
      <c r="B9" s="407" t="n"/>
      <c r="C9" s="404" t="n">
        <v>4</v>
      </c>
      <c r="D9" s="405" t="n"/>
    </row>
    <row r="10">
      <c r="B10" s="403" t="n"/>
      <c r="C10" s="404" t="n">
        <v>5</v>
      </c>
      <c r="D10" s="405" t="n"/>
    </row>
    <row r="11">
      <c r="B11" s="403" t="n"/>
      <c r="C11" s="404" t="n">
        <v>6</v>
      </c>
      <c r="D11" s="405" t="n"/>
    </row>
    <row r="12">
      <c r="B12" s="403" t="n"/>
      <c r="C12" s="404" t="n">
        <v>7</v>
      </c>
      <c r="D12" s="405" t="n"/>
      <c r="K12" s="406" t="inlineStr">
        <is>
          <t>PLEASE DO NOT ERASE ANY COLUMN OR ROW dahil interconnected po ang mga formulas. Tapatan niyo lang po ang inyong section at hayaang walang entry ang ibang column kung wala naman talaga, especially for APPLIED and SPECIALIZED subjects po. Salamat.</t>
        </is>
      </c>
    </row>
    <row r="13">
      <c r="B13" s="407" t="n"/>
      <c r="C13" s="404" t="n">
        <v>8</v>
      </c>
      <c r="D13" s="405" t="n"/>
    </row>
    <row r="14">
      <c r="B14" s="403" t="n"/>
      <c r="C14" s="404" t="n">
        <v>9</v>
      </c>
      <c r="D14" s="405" t="n"/>
    </row>
    <row r="15">
      <c r="B15" s="403" t="n"/>
      <c r="C15" s="404" t="n">
        <v>10</v>
      </c>
      <c r="D15" s="405" t="n"/>
    </row>
    <row r="16">
      <c r="B16" s="403" t="n"/>
      <c r="C16" s="404" t="n">
        <v>11</v>
      </c>
      <c r="D16" s="405" t="n"/>
    </row>
    <row r="17">
      <c r="B17" s="403" t="n"/>
      <c r="C17" s="404" t="n">
        <v>12</v>
      </c>
      <c r="D17" s="405" t="n"/>
    </row>
    <row r="18">
      <c r="B18" s="403" t="n"/>
      <c r="C18" s="404" t="n">
        <v>13</v>
      </c>
      <c r="D18" s="405" t="n"/>
    </row>
    <row r="19">
      <c r="B19" s="403" t="n"/>
      <c r="C19" s="404" t="n">
        <v>14</v>
      </c>
      <c r="D19" s="405" t="n"/>
      <c r="S19" s="408" t="n"/>
    </row>
    <row r="20">
      <c r="B20" s="403" t="n"/>
      <c r="C20" s="404" t="n">
        <v>15</v>
      </c>
      <c r="D20" s="405" t="n"/>
    </row>
    <row r="21" ht="15.75" customHeight="1" s="1">
      <c r="B21" s="403" t="n"/>
      <c r="C21" s="404" t="n">
        <v>16</v>
      </c>
      <c r="D21" s="405" t="n"/>
    </row>
    <row r="22" ht="15.75" customHeight="1" s="1">
      <c r="B22" s="403" t="n"/>
      <c r="C22" s="404" t="n">
        <v>17</v>
      </c>
      <c r="D22" s="405" t="n"/>
    </row>
    <row r="23" ht="15.75" customHeight="1" s="1">
      <c r="B23" s="407" t="n"/>
      <c r="C23" s="404" t="n">
        <v>18</v>
      </c>
      <c r="D23" s="405" t="n"/>
      <c r="S23" s="405" t="n"/>
    </row>
    <row r="24" ht="15.75" customHeight="1" s="1">
      <c r="B24" s="403" t="n"/>
      <c r="C24" s="409" t="n">
        <v>19</v>
      </c>
    </row>
    <row r="25" ht="15.75" customHeight="1" s="1">
      <c r="B25" s="407" t="n"/>
      <c r="C25" s="409" t="n">
        <v>20</v>
      </c>
    </row>
    <row r="26" ht="15.75" customHeight="1" s="1">
      <c r="B26" s="403" t="n"/>
      <c r="C26" s="404" t="n">
        <v>21</v>
      </c>
      <c r="S26" s="408" t="inlineStr">
        <is>
          <t>NA</t>
        </is>
      </c>
    </row>
    <row r="27" ht="15.75" customHeight="1" s="1">
      <c r="B27" s="403" t="n"/>
      <c r="C27" s="404" t="n">
        <v>22</v>
      </c>
      <c r="S27" s="408" t="inlineStr">
        <is>
          <t>NA</t>
        </is>
      </c>
    </row>
    <row r="28" ht="15.75" customHeight="1" s="1"/>
    <row r="29" ht="15.75" customHeight="1" s="1">
      <c r="B29" s="399" t="inlineStr">
        <is>
          <t>STEP 2: ENCODE THE QUARTERLY ASSESSMENT SCORES OBTAINED</t>
        </is>
      </c>
      <c r="C29" s="401" t="n"/>
      <c r="D29" s="401" t="n"/>
      <c r="E29" s="401" t="n"/>
      <c r="F29" s="401" t="n"/>
      <c r="G29" s="401" t="n"/>
      <c r="H29" s="401" t="n"/>
      <c r="I29" s="401" t="n"/>
      <c r="J29" s="401" t="n"/>
      <c r="K29" s="401" t="n"/>
      <c r="L29" s="401" t="n"/>
      <c r="M29" s="401" t="n"/>
      <c r="N29" s="401" t="n"/>
      <c r="O29" s="401" t="n"/>
      <c r="P29" s="401" t="n"/>
    </row>
    <row r="30" ht="15.75" customHeight="1" s="1"/>
    <row r="31" ht="15.75" customHeight="1" s="1">
      <c r="B31" s="399" t="inlineStr">
        <is>
          <t>STEP 3: DETERMINE THE LEAST MASTERED COMPETENCIES (TEST ITEM WITH LOWEST 5 SCORES) AND INTERVENTION</t>
        </is>
      </c>
      <c r="C31" s="410" t="n"/>
      <c r="D31" s="410" t="n"/>
      <c r="E31" s="410" t="n"/>
      <c r="F31" s="410" t="n"/>
      <c r="G31" s="410" t="n"/>
      <c r="H31" s="410" t="n"/>
      <c r="I31" s="410" t="n"/>
      <c r="J31" s="410" t="n"/>
      <c r="K31" s="410" t="n"/>
      <c r="L31" s="410" t="n"/>
      <c r="M31" s="410" t="n"/>
      <c r="N31" s="410" t="n"/>
      <c r="O31" s="410" t="n"/>
      <c r="P31" s="410" t="n"/>
    </row>
    <row r="32"/>
    <row r="33" ht="15.75" customHeight="1" s="1">
      <c r="B33" s="399" t="inlineStr">
        <is>
          <t>Summary Reports:</t>
        </is>
      </c>
      <c r="C33" s="410" t="n"/>
      <c r="D33" s="410" t="n"/>
    </row>
    <row r="34" ht="15.75" customHeight="1" s="1">
      <c r="C34" s="404" t="n">
        <v>1</v>
      </c>
      <c r="D34" s="411" t="inlineStr">
        <is>
          <t>Summary of Item Analysis</t>
        </is>
      </c>
    </row>
    <row r="35" ht="15.75" customHeight="1" s="1">
      <c r="C35" s="404" t="n">
        <v>2</v>
      </c>
      <c r="D35" s="411" t="inlineStr">
        <is>
          <t>Consolidation Report to CSDO</t>
        </is>
      </c>
    </row>
  </sheetData>
  <mergeCells count="2">
    <mergeCell ref="K12:P19"/>
    <mergeCell ref="K6:P10"/>
  </mergeCells>
  <hyperlinks>
    <hyperlink ref="S26" location="'INTRO TO PHILO'!A1" display="NA"/>
    <hyperlink ref="S27" location="'TEMPLATE 1'!A1" display="NA"/>
    <hyperlink ref="D34" location="'SUMMARY OF ITEM ANALYSIS'!A1" display="Summary of Item Analysis"/>
    <hyperlink ref="D35" location="'CONSOLIDATION REPORT TO DO'!A1" display="Consolidation Report to CSDO"/>
  </hyperlinks>
  <pageMargins left="0.7" right="0.7" top="0.75" bottom="0.75" header="0" footer="0"/>
  <pageSetup orientation="landscape" paperSize="1"/>
</worksheet>
</file>

<file path=xl/worksheets/sheet2.xml><?xml version="1.0" encoding="utf-8"?>
<worksheet xmlns="http://schemas.openxmlformats.org/spreadsheetml/2006/main">
  <sheetPr codeName="Sheet32">
    <tabColor rgb="FFC92AAF"/>
    <outlinePr summaryBelow="1" summaryRight="1"/>
    <pageSetUpPr/>
  </sheetPr>
  <dimension ref="A1:Z213"/>
  <sheetViews>
    <sheetView zoomScale="120" zoomScaleNormal="120" workbookViewId="0">
      <selection activeCell="AJ1" sqref="AJ1"/>
    </sheetView>
  </sheetViews>
  <sheetFormatPr baseColWidth="8" defaultColWidth="14.5047619047619" defaultRowHeight="15" customHeight="1"/>
  <cols>
    <col width="23.1619047619048" customWidth="1" style="1" min="1" max="1"/>
    <col width="13" customWidth="1" style="290" min="2" max="2"/>
    <col width="11.3333333333333" customWidth="1" style="291" min="3" max="3"/>
    <col width="12.6666666666667" customWidth="1" style="1" min="4" max="4"/>
    <col width="14.5047619047619" customWidth="1" style="1" min="5" max="6"/>
    <col hidden="1" width="9.66666666666667" customWidth="1" style="1" min="7" max="22"/>
    <col width="14.5047619047619" customWidth="1" style="1" min="23" max="23"/>
    <col width="12.8285714285714" customWidth="1" style="1" min="24" max="25"/>
    <col width="11.3333333333333" customWidth="1" style="1" min="26" max="26"/>
    <col width="13.6666666666667" customWidth="1" style="1" min="27" max="27"/>
    <col width="8.66666666666667" customWidth="1" style="1" min="28" max="29"/>
    <col width="14.5047619047619" customWidth="1" style="1" min="30" max="31"/>
    <col width="13.3333333333333" customWidth="1" style="1" min="32" max="32"/>
    <col width="13.1619047619048" customWidth="1" style="1" min="33" max="33"/>
    <col width="14.5047619047619" customWidth="1" style="1" min="34" max="42"/>
  </cols>
  <sheetData>
    <row r="1" ht="15.75" customHeight="1" s="1">
      <c r="A1" s="292" t="inlineStr">
        <is>
          <t>DIVISION:</t>
        </is>
      </c>
      <c r="B1" s="9" t="inlineStr">
        <is>
          <t>Dasmariñas City</t>
        </is>
      </c>
      <c r="C1" s="412" t="n"/>
      <c r="D1" s="412" t="n"/>
      <c r="E1" s="412" t="n"/>
      <c r="F1" s="412" t="n"/>
      <c r="G1" s="298" t="n"/>
      <c r="H1" s="293" t="inlineStr">
        <is>
          <t>Go back to HOW-TO STEPS tab</t>
        </is>
      </c>
      <c r="I1" s="298" t="n"/>
      <c r="J1" s="298" t="n"/>
      <c r="K1" s="298" t="n"/>
      <c r="L1" s="298" t="n"/>
      <c r="M1" s="298" t="n"/>
      <c r="N1" s="298" t="n"/>
      <c r="O1" s="298" t="n"/>
      <c r="P1" s="298" t="n"/>
      <c r="Q1" s="298" t="n"/>
      <c r="R1" s="298" t="n"/>
      <c r="S1" s="298" t="n"/>
      <c r="T1" s="298" t="n"/>
      <c r="U1" s="298" t="n"/>
      <c r="V1" s="298" t="n"/>
      <c r="W1" s="82" t="n"/>
      <c r="X1" s="82" t="n"/>
      <c r="Y1" s="82" t="n"/>
      <c r="Z1" s="82" t="n"/>
    </row>
    <row r="2" ht="15.75" customHeight="1" s="1">
      <c r="A2" s="292" t="inlineStr">
        <is>
          <t>CLUSTER:</t>
        </is>
      </c>
      <c r="B2" s="9" t="inlineStr">
        <is>
          <t>CLUSTER VIII</t>
        </is>
      </c>
      <c r="C2" s="412" t="n"/>
      <c r="D2" s="412" t="n"/>
      <c r="E2" s="412" t="n"/>
      <c r="F2" s="412" t="n"/>
      <c r="G2" s="298" t="n"/>
      <c r="H2" s="298" t="n"/>
      <c r="I2" s="298" t="n"/>
      <c r="J2" s="298" t="n"/>
      <c r="K2" s="298" t="n"/>
      <c r="L2" s="298" t="n"/>
      <c r="M2" s="298" t="n"/>
      <c r="N2" s="298" t="n"/>
      <c r="O2" s="298" t="n"/>
      <c r="P2" s="298" t="n"/>
      <c r="Q2" s="298" t="n"/>
      <c r="R2" s="298" t="n"/>
      <c r="S2" s="298" t="n"/>
      <c r="T2" s="298" t="n"/>
      <c r="U2" s="298" t="n"/>
      <c r="V2" s="298" t="n"/>
      <c r="W2" s="82" t="n"/>
      <c r="X2" s="82" t="n"/>
      <c r="Y2" s="82" t="n"/>
      <c r="Z2" s="82" t="n"/>
    </row>
    <row r="3" ht="15.75" customHeight="1" s="1">
      <c r="A3" s="294" t="inlineStr">
        <is>
          <t>SCHOOL:</t>
        </is>
      </c>
      <c r="B3" s="9" t="inlineStr">
        <is>
          <t>PALIPARAN III SENIOR HIGH SCHOOL</t>
        </is>
      </c>
      <c r="C3" s="412" t="n"/>
      <c r="D3" s="412" t="n"/>
      <c r="E3" s="412" t="n"/>
      <c r="F3" s="412" t="n"/>
      <c r="G3" s="298" t="n"/>
      <c r="H3" s="298" t="n"/>
      <c r="I3" s="298" t="n"/>
      <c r="J3" s="298" t="n"/>
      <c r="K3" s="298" t="n"/>
      <c r="L3" s="298" t="n"/>
      <c r="M3" s="298" t="n"/>
      <c r="N3" s="298" t="n"/>
      <c r="O3" s="298" t="n"/>
      <c r="P3" s="298" t="n"/>
      <c r="Q3" s="298" t="n"/>
      <c r="R3" s="298" t="n"/>
      <c r="S3" s="298" t="n"/>
      <c r="T3" s="298" t="n"/>
      <c r="U3" s="298" t="n"/>
      <c r="V3" s="298" t="n"/>
      <c r="W3" s="82" t="n"/>
      <c r="X3" s="82" t="n"/>
      <c r="Y3" s="82" t="n"/>
      <c r="Z3" s="82" t="n"/>
    </row>
    <row r="4" ht="15.75" customHeight="1" s="1">
      <c r="A4" s="294" t="inlineStr">
        <is>
          <t>SCHOOL YEAR:</t>
        </is>
      </c>
      <c r="B4" s="9" t="inlineStr">
        <is>
          <t>2025-2026</t>
        </is>
      </c>
      <c r="C4" s="412" t="n"/>
      <c r="D4" s="412" t="n"/>
      <c r="E4" s="412" t="n"/>
      <c r="F4" s="412" t="n"/>
      <c r="G4" s="298" t="n"/>
      <c r="H4" s="298" t="n"/>
      <c r="I4" s="298" t="n"/>
      <c r="J4" s="298" t="n"/>
      <c r="K4" s="298" t="n"/>
      <c r="L4" s="298" t="n"/>
      <c r="M4" s="298" t="n"/>
      <c r="N4" s="298" t="n"/>
      <c r="O4" s="298" t="n"/>
      <c r="P4" s="298" t="n"/>
      <c r="Q4" s="298" t="n"/>
      <c r="R4" s="298" t="n"/>
      <c r="S4" s="298" t="n"/>
      <c r="T4" s="298" t="n"/>
      <c r="U4" s="298" t="n"/>
      <c r="V4" s="298" t="n"/>
      <c r="W4" s="82" t="n"/>
      <c r="X4" s="82" t="n"/>
      <c r="Y4" s="82" t="n"/>
      <c r="Z4" s="82" t="n"/>
    </row>
    <row r="5" ht="15.75" customHeight="1" s="1">
      <c r="A5" s="294" t="inlineStr">
        <is>
          <t>LEARNING AREA:</t>
        </is>
      </c>
      <c r="B5" s="295" t="inlineStr">
        <is>
          <t xml:space="preserve">Elective- Business and Entrepeneurship </t>
        </is>
      </c>
      <c r="C5" s="412" t="n"/>
      <c r="D5" s="412" t="n"/>
      <c r="E5" s="412" t="n"/>
      <c r="F5" s="412" t="n"/>
      <c r="G5" s="298" t="n"/>
      <c r="H5" s="298" t="n"/>
      <c r="I5" s="298" t="n"/>
      <c r="J5" s="298" t="n"/>
      <c r="K5" s="298" t="n"/>
      <c r="L5" s="298" t="n"/>
      <c r="M5" s="298" t="n"/>
      <c r="N5" s="298" t="n"/>
      <c r="O5" s="298" t="n"/>
      <c r="P5" s="298" t="n"/>
      <c r="Q5" s="298" t="n"/>
      <c r="R5" s="298" t="n"/>
      <c r="S5" s="298" t="n"/>
      <c r="T5" s="298" t="n"/>
      <c r="U5" s="298" t="n"/>
      <c r="V5" s="298" t="n"/>
      <c r="W5" s="82" t="n"/>
      <c r="X5" s="82" t="n"/>
      <c r="Y5" s="82" t="n"/>
      <c r="Z5" s="82" t="n"/>
    </row>
    <row r="6" ht="15.75" customHeight="1" s="1">
      <c r="A6" s="294" t="inlineStr">
        <is>
          <t>GRADE LEVEL:</t>
        </is>
      </c>
      <c r="B6" s="9" t="n">
        <v>11</v>
      </c>
      <c r="C6" s="412" t="n"/>
      <c r="D6" s="412" t="n"/>
      <c r="E6" s="412" t="n"/>
      <c r="F6" s="412" t="n"/>
      <c r="G6" s="298" t="n"/>
      <c r="H6" s="298" t="n"/>
      <c r="I6" s="298" t="n"/>
      <c r="J6" s="298" t="n"/>
      <c r="K6" s="298" t="n"/>
      <c r="L6" s="298" t="n"/>
      <c r="M6" s="298" t="n"/>
      <c r="N6" s="298" t="n"/>
      <c r="O6" s="298" t="n"/>
      <c r="P6" s="298" t="n"/>
      <c r="Q6" s="298" t="n"/>
      <c r="R6" s="298" t="n"/>
      <c r="S6" s="298" t="n"/>
      <c r="T6" s="298" t="n"/>
      <c r="U6" s="298" t="n"/>
      <c r="V6" s="298" t="n"/>
      <c r="W6" s="82" t="n"/>
      <c r="X6" s="82" t="n"/>
      <c r="Y6" s="82" t="n"/>
      <c r="Z6" s="82" t="n"/>
    </row>
    <row r="7" ht="31.5" customHeight="1" s="1">
      <c r="A7" s="294" t="inlineStr">
        <is>
          <t>TOTAL NO. OF ITEMS:</t>
        </is>
      </c>
      <c r="B7" s="9" t="n">
        <v>60</v>
      </c>
      <c r="C7" s="412" t="n"/>
      <c r="D7" s="412" t="n"/>
      <c r="E7" s="412" t="n"/>
      <c r="F7" s="412" t="n"/>
      <c r="G7" s="298" t="n"/>
      <c r="H7" s="298" t="n"/>
      <c r="I7" s="298" t="n"/>
      <c r="J7" s="298" t="n"/>
      <c r="K7" s="298" t="n"/>
      <c r="L7" s="298" t="n"/>
      <c r="M7" s="298" t="n"/>
      <c r="N7" s="298" t="n"/>
      <c r="O7" s="298" t="n"/>
      <c r="P7" s="298" t="n"/>
      <c r="Q7" s="298" t="n"/>
      <c r="R7" s="298" t="n"/>
      <c r="S7" s="298" t="n"/>
      <c r="T7" s="298" t="n"/>
      <c r="U7" s="298" t="n"/>
      <c r="V7" s="298" t="n"/>
      <c r="W7" s="82" t="n"/>
      <c r="X7" s="82" t="n"/>
      <c r="Y7" s="82" t="n"/>
      <c r="Z7" s="82" t="n"/>
    </row>
    <row r="8" ht="29.25" customHeight="1" s="1">
      <c r="A8" s="294" t="inlineStr">
        <is>
          <t>TOTAL NO. OF EXAMINEES:</t>
        </is>
      </c>
      <c r="B8" s="413">
        <f>W13</f>
        <v/>
      </c>
      <c r="C8" s="412" t="n"/>
      <c r="D8" s="412" t="n"/>
      <c r="E8" s="412" t="n"/>
      <c r="F8" s="414" t="n"/>
      <c r="G8" s="298" t="n"/>
      <c r="H8" s="298" t="n"/>
      <c r="I8" s="298" t="n"/>
      <c r="J8" s="298" t="n"/>
      <c r="K8" s="298" t="n"/>
      <c r="L8" s="298" t="n"/>
      <c r="M8" s="298" t="n"/>
      <c r="N8" s="298" t="n"/>
      <c r="O8" s="298" t="n"/>
      <c r="P8" s="298" t="n"/>
      <c r="Q8" s="298" t="n"/>
      <c r="R8" s="298" t="n"/>
      <c r="S8" s="298" t="n"/>
      <c r="T8" s="298" t="n"/>
      <c r="U8" s="298" t="n"/>
      <c r="V8" s="298" t="n"/>
      <c r="W8" s="82" t="n"/>
      <c r="X8" s="82" t="n"/>
      <c r="Y8" s="82" t="n"/>
      <c r="Z8" s="82" t="n"/>
    </row>
    <row r="9" ht="42.75" customHeight="1" s="1">
      <c r="A9" s="294" t="inlineStr">
        <is>
          <t>TOTAL NO. OF SECTIONS/CLASSES:</t>
        </is>
      </c>
      <c r="B9" s="413">
        <f>COUNT(B13:F13)</f>
        <v/>
      </c>
      <c r="C9" s="412" t="n"/>
      <c r="D9" s="412" t="n"/>
      <c r="E9" s="412" t="n"/>
      <c r="F9" s="414" t="n"/>
      <c r="G9" s="298" t="n"/>
      <c r="H9" s="298" t="n"/>
      <c r="I9" s="298" t="n"/>
      <c r="J9" s="298" t="n"/>
      <c r="K9" s="298" t="n"/>
      <c r="L9" s="298" t="n"/>
      <c r="M9" s="298" t="n"/>
      <c r="N9" s="298" t="n"/>
      <c r="O9" s="298" t="n"/>
      <c r="P9" s="298" t="n"/>
      <c r="Q9" s="298" t="n"/>
      <c r="R9" s="298" t="n"/>
      <c r="S9" s="298" t="n"/>
      <c r="T9" s="298" t="n"/>
      <c r="U9" s="298" t="n"/>
      <c r="V9" s="298" t="n"/>
      <c r="W9" s="298" t="n"/>
      <c r="X9" s="298" t="n"/>
      <c r="Y9" s="298" t="n"/>
      <c r="Z9" s="298" t="n"/>
    </row>
    <row r="10" ht="15.75" customHeight="1" s="1">
      <c r="A10" s="298" t="n"/>
      <c r="B10" s="299" t="n"/>
      <c r="C10" s="298" t="n"/>
      <c r="D10" s="298" t="n"/>
      <c r="E10" s="298" t="n"/>
      <c r="F10" s="298" t="n"/>
      <c r="G10" s="298" t="n"/>
      <c r="H10" s="298" t="n"/>
      <c r="I10" s="298" t="n"/>
      <c r="J10" s="298" t="n"/>
      <c r="K10" s="298" t="n"/>
      <c r="L10" s="298" t="n"/>
      <c r="M10" s="298" t="n"/>
      <c r="N10" s="298" t="n"/>
      <c r="O10" s="298" t="n"/>
      <c r="P10" s="298" t="n"/>
      <c r="Q10" s="298" t="n"/>
      <c r="R10" s="298" t="n"/>
      <c r="S10" s="298" t="n"/>
      <c r="T10" s="298" t="n"/>
      <c r="U10" s="298" t="n"/>
      <c r="V10" s="298" t="n"/>
      <c r="W10" s="298" t="n"/>
      <c r="X10" s="298" t="n"/>
      <c r="Y10" s="298" t="n"/>
      <c r="Z10" s="298" t="n"/>
    </row>
    <row r="11" ht="43.5" customHeight="1" s="1">
      <c r="A11" s="300" t="inlineStr">
        <is>
          <t>QUARTER ASSESSMENT</t>
        </is>
      </c>
      <c r="B11" s="301" t="inlineStr">
        <is>
          <t>ITEM ANALYSIS: FREQUENCY (NUMBER) OF CORRECT RESPONSES</t>
        </is>
      </c>
      <c r="C11" s="412" t="n"/>
      <c r="D11" s="412" t="n"/>
      <c r="E11" s="412" t="n"/>
      <c r="F11" s="412" t="n"/>
      <c r="G11" s="412" t="n"/>
      <c r="H11" s="412" t="n"/>
      <c r="I11" s="412" t="n"/>
      <c r="J11" s="412" t="n"/>
      <c r="K11" s="412" t="n"/>
      <c r="L11" s="412" t="n"/>
      <c r="M11" s="412" t="n"/>
      <c r="N11" s="412" t="n"/>
      <c r="O11" s="412" t="n"/>
      <c r="P11" s="412" t="n"/>
      <c r="Q11" s="412" t="n"/>
      <c r="R11" s="412" t="n"/>
      <c r="S11" s="412" t="n"/>
      <c r="T11" s="412" t="n"/>
      <c r="U11" s="412" t="n"/>
      <c r="V11" s="412" t="n"/>
      <c r="W11" s="298" t="n"/>
      <c r="X11" s="298" t="n"/>
      <c r="Y11" s="298" t="n"/>
      <c r="Z11" s="298" t="n"/>
    </row>
    <row r="12" ht="46.5" customHeight="1" s="1">
      <c r="A12" s="42" t="inlineStr">
        <is>
          <t>Sections/Classes</t>
        </is>
      </c>
      <c r="B12" s="42" t="n"/>
      <c r="C12" s="41" t="n"/>
      <c r="D12" s="43" t="n"/>
      <c r="E12" s="41" t="n"/>
      <c r="F12" s="41" t="n"/>
      <c r="G12" s="41" t="n"/>
      <c r="H12" s="41" t="n"/>
      <c r="I12" s="41" t="n"/>
      <c r="J12" s="41" t="n"/>
      <c r="K12" s="41" t="n"/>
      <c r="L12" s="41" t="n"/>
      <c r="M12" s="41" t="n"/>
      <c r="N12" s="41" t="n"/>
      <c r="O12" s="41" t="n"/>
      <c r="P12" s="41" t="n"/>
      <c r="Q12" s="41" t="n"/>
      <c r="R12" s="41" t="n"/>
      <c r="S12" s="41" t="n"/>
      <c r="T12" s="41" t="n"/>
      <c r="U12" s="41" t="n"/>
      <c r="V12" s="41" t="n"/>
      <c r="W12" s="45" t="inlineStr">
        <is>
          <t>Total</t>
        </is>
      </c>
      <c r="X12" s="46" t="n"/>
      <c r="Y12" s="46" t="n"/>
      <c r="Z12" s="46" t="n"/>
    </row>
    <row r="13" ht="63" customHeight="1" s="1">
      <c r="A13" s="303" t="inlineStr">
        <is>
          <t>No. of Examinees</t>
        </is>
      </c>
      <c r="B13" s="304" t="n"/>
      <c r="C13" s="305" t="n"/>
      <c r="D13" s="306" t="n"/>
      <c r="E13" s="49" t="n"/>
      <c r="F13" s="49" t="n"/>
      <c r="G13" s="49" t="n"/>
      <c r="H13" s="49" t="n"/>
      <c r="I13" s="49" t="n"/>
      <c r="J13" s="49" t="n"/>
      <c r="K13" s="49" t="n"/>
      <c r="L13" s="49" t="n"/>
      <c r="M13" s="49" t="n"/>
      <c r="N13" s="49" t="n"/>
      <c r="O13" s="49" t="n"/>
      <c r="P13" s="49" t="n"/>
      <c r="Q13" s="49" t="n"/>
      <c r="R13" s="49" t="n"/>
      <c r="S13" s="49" t="n"/>
      <c r="T13" s="49" t="n"/>
      <c r="U13" s="49" t="n"/>
      <c r="V13" s="49" t="n"/>
      <c r="W13" s="50">
        <f>SUM(B13:V13)</f>
        <v/>
      </c>
      <c r="X13" s="51" t="inlineStr">
        <is>
          <t>% of Correct Responses</t>
        </is>
      </c>
      <c r="Y13" s="51" t="inlineStr">
        <is>
          <t>Rank</t>
        </is>
      </c>
      <c r="Z13" s="51" t="inlineStr">
        <is>
          <t>Level of Mastery</t>
        </is>
      </c>
    </row>
    <row r="14" ht="15.75" customHeight="1" s="1">
      <c r="A14" s="307" t="inlineStr">
        <is>
          <t>Item No.</t>
        </is>
      </c>
      <c r="B14" s="308" t="n"/>
      <c r="C14" s="309" t="n"/>
      <c r="D14" s="310" t="n"/>
      <c r="E14" s="310" t="n"/>
      <c r="F14" s="310" t="n"/>
      <c r="G14" s="310" t="n"/>
      <c r="H14" s="310" t="n"/>
      <c r="I14" s="310" t="n"/>
      <c r="J14" s="310" t="n"/>
      <c r="K14" s="310" t="n"/>
      <c r="L14" s="310" t="n"/>
      <c r="M14" s="310" t="n"/>
      <c r="N14" s="310" t="n"/>
      <c r="O14" s="310" t="n"/>
      <c r="P14" s="310" t="n"/>
      <c r="Q14" s="310" t="n"/>
      <c r="R14" s="310" t="n"/>
      <c r="S14" s="310" t="n"/>
      <c r="T14" s="310" t="n"/>
      <c r="U14" s="310" t="n"/>
      <c r="V14" s="310" t="n"/>
      <c r="W14" s="310" t="n"/>
      <c r="X14" s="54" t="n"/>
      <c r="Y14" s="54" t="n"/>
      <c r="Z14" s="54" t="n"/>
    </row>
    <row r="15" ht="15.75" customHeight="1" s="1">
      <c r="A15" s="52" t="n">
        <v>1</v>
      </c>
      <c r="B15" s="55" t="n"/>
      <c r="C15" s="55" t="n"/>
      <c r="D15" s="55" t="n"/>
      <c r="E15" s="55" t="n"/>
      <c r="F15" s="55" t="n"/>
      <c r="G15" s="55" t="n"/>
      <c r="H15" s="55" t="n"/>
      <c r="I15" s="55" t="n"/>
      <c r="J15" s="55" t="n"/>
      <c r="K15" s="55" t="n"/>
      <c r="L15" s="55" t="n"/>
      <c r="M15" s="311" t="n"/>
      <c r="N15" s="55" t="n"/>
      <c r="O15" s="55" t="n"/>
      <c r="P15" s="311" t="n"/>
      <c r="Q15" s="311" t="n"/>
      <c r="R15" s="55" t="n"/>
      <c r="S15" s="55" t="n"/>
      <c r="T15" s="55" t="n"/>
      <c r="U15" s="55" t="n"/>
      <c r="V15" s="55" t="n"/>
      <c r="W15" s="56">
        <f>IF(SUM(B15:V15)=0,"",SUM(B15:V15))</f>
        <v/>
      </c>
      <c r="X15" s="312">
        <f>IF(COUNTBLANK(B15:V15)=21,"",ROUND((W15/($W$13))*100,2))</f>
        <v/>
      </c>
      <c r="Y15" s="56">
        <f>RANK(X15,$X$15:$X$74,0)</f>
        <v/>
      </c>
      <c r="Z15" s="58">
        <f>IF(X15&lt;=35.99,"Least Mastered",IF(X15&lt;=74.99,"Nearly Mastered",IF(X15&lt;=90.99,"Mastered",IF(X15&lt;=100,"Highly Mastered"))))</f>
        <v/>
      </c>
    </row>
    <row r="16" ht="15.75" customHeight="1" s="1">
      <c r="A16" s="52">
        <f>A15+1</f>
        <v/>
      </c>
      <c r="B16" s="55" t="n"/>
      <c r="C16" s="55" t="n"/>
      <c r="D16" s="55" t="n"/>
      <c r="E16" s="55" t="n"/>
      <c r="F16" s="55" t="n"/>
      <c r="G16" s="55" t="n"/>
      <c r="H16" s="55" t="n"/>
      <c r="I16" s="55" t="n"/>
      <c r="J16" s="55" t="n"/>
      <c r="K16" s="55" t="n"/>
      <c r="L16" s="55" t="n"/>
      <c r="M16" s="311" t="n"/>
      <c r="N16" s="55" t="n"/>
      <c r="O16" s="55" t="n"/>
      <c r="P16" s="311" t="n"/>
      <c r="Q16" s="311" t="n"/>
      <c r="R16" s="55" t="n"/>
      <c r="S16" s="55" t="n"/>
      <c r="T16" s="55" t="n"/>
      <c r="U16" s="55" t="n"/>
      <c r="V16" s="55" t="n"/>
      <c r="W16" s="56">
        <f>IF(SUM(B16:V16)=0,"",SUM(B16:V16))</f>
        <v/>
      </c>
      <c r="X16" s="312">
        <f>IF(COUNTBLANK(B16:V16)=21,"",ROUND((W16/($W$13))*100,2))</f>
        <v/>
      </c>
      <c r="Y16" s="56">
        <f>RANK(X16,$X$15:$X$74,0)</f>
        <v/>
      </c>
      <c r="Z16" s="58">
        <f>IF(X16&lt;=35.99,"Least Mastered",IF(X16&lt;=74.99,"Nearly Mastered",IF(X16&lt;=90.99,"Mastered",IF(X16&lt;=100,"Highly Mastered"))))</f>
        <v/>
      </c>
    </row>
    <row r="17" ht="15.75" customHeight="1" s="1">
      <c r="A17" s="52">
        <f>A16+1</f>
        <v/>
      </c>
      <c r="B17" s="55" t="n"/>
      <c r="C17" s="55" t="n"/>
      <c r="D17" s="55" t="n"/>
      <c r="E17" s="55" t="n"/>
      <c r="F17" s="55" t="n"/>
      <c r="G17" s="55" t="n"/>
      <c r="H17" s="55" t="n"/>
      <c r="I17" s="55" t="n"/>
      <c r="J17" s="55" t="n"/>
      <c r="K17" s="55" t="n"/>
      <c r="L17" s="55" t="n"/>
      <c r="M17" s="311" t="n"/>
      <c r="N17" s="55" t="n"/>
      <c r="O17" s="55" t="n"/>
      <c r="P17" s="311" t="n"/>
      <c r="Q17" s="311" t="n"/>
      <c r="R17" s="55" t="n"/>
      <c r="S17" s="55" t="n"/>
      <c r="T17" s="55" t="n"/>
      <c r="U17" s="55" t="n"/>
      <c r="V17" s="55" t="n"/>
      <c r="W17" s="56">
        <f>IF(SUM(B17:V17)=0,"",SUM(B17:V17))</f>
        <v/>
      </c>
      <c r="X17" s="312">
        <f>IF(COUNTBLANK(B17:V17)=21,"",ROUND((W17/($W$13))*100,2))</f>
        <v/>
      </c>
      <c r="Y17" s="56">
        <f>RANK(X17,$X$15:$X$74,0)</f>
        <v/>
      </c>
      <c r="Z17" s="58">
        <f>IF(X17&lt;=35.99,"Least Mastered",IF(X17&lt;=74.99,"Nearly Mastered",IF(X17&lt;=90.99,"Mastered",IF(X17&lt;=100,"Highly Mastered"))))</f>
        <v/>
      </c>
    </row>
    <row r="18" ht="15.75" customHeight="1" s="1">
      <c r="A18" s="52">
        <f>A17+1</f>
        <v/>
      </c>
      <c r="B18" s="55" t="n"/>
      <c r="C18" s="55" t="n"/>
      <c r="D18" s="55" t="n"/>
      <c r="E18" s="55" t="n"/>
      <c r="F18" s="55" t="n"/>
      <c r="G18" s="55" t="n"/>
      <c r="H18" s="55" t="n"/>
      <c r="I18" s="55" t="n"/>
      <c r="J18" s="55" t="n"/>
      <c r="K18" s="55" t="n"/>
      <c r="L18" s="55" t="n"/>
      <c r="M18" s="311" t="n"/>
      <c r="N18" s="55" t="n"/>
      <c r="O18" s="55" t="n"/>
      <c r="P18" s="311" t="n"/>
      <c r="Q18" s="311" t="n"/>
      <c r="R18" s="55" t="n"/>
      <c r="S18" s="55" t="n"/>
      <c r="T18" s="55" t="n"/>
      <c r="U18" s="55" t="n"/>
      <c r="V18" s="55" t="n"/>
      <c r="W18" s="56">
        <f>IF(SUM(B18:V18)=0,"",SUM(B18:V18))</f>
        <v/>
      </c>
      <c r="X18" s="312">
        <f>IF(COUNTBLANK(B18:V18)=21,"",ROUND((W18/($W$13))*100,2))</f>
        <v/>
      </c>
      <c r="Y18" s="56">
        <f>RANK(X18,$X$15:$X$74,0)</f>
        <v/>
      </c>
      <c r="Z18" s="58">
        <f>IF(X18&lt;=35.99,"Least Mastered",IF(X18&lt;=74.99,"Nearly Mastered",IF(X18&lt;=90.99,"Mastered",IF(X18&lt;=100,"Highly Mastered"))))</f>
        <v/>
      </c>
    </row>
    <row r="19" ht="15.75" customHeight="1" s="1">
      <c r="A19" s="52">
        <f>A18+1</f>
        <v/>
      </c>
      <c r="B19" s="55" t="n"/>
      <c r="C19" s="55" t="n"/>
      <c r="D19" s="55" t="n"/>
      <c r="E19" s="55" t="n"/>
      <c r="F19" s="55" t="n"/>
      <c r="G19" s="55" t="n"/>
      <c r="H19" s="55" t="n"/>
      <c r="I19" s="55" t="n"/>
      <c r="J19" s="55" t="n"/>
      <c r="K19" s="55" t="n"/>
      <c r="L19" s="55" t="n"/>
      <c r="M19" s="311" t="n"/>
      <c r="N19" s="55" t="n"/>
      <c r="O19" s="55" t="n"/>
      <c r="P19" s="311" t="n"/>
      <c r="Q19" s="311" t="n"/>
      <c r="R19" s="55" t="n"/>
      <c r="S19" s="55" t="n"/>
      <c r="T19" s="55" t="n"/>
      <c r="U19" s="55" t="n"/>
      <c r="V19" s="55" t="n"/>
      <c r="W19" s="56">
        <f>IF(SUM(B19:V19)=0,"",SUM(B19:V19))</f>
        <v/>
      </c>
      <c r="X19" s="312">
        <f>IF(COUNTBLANK(B19:V19)=21,"",ROUND((W19/($W$13))*100,2))</f>
        <v/>
      </c>
      <c r="Y19" s="56">
        <f>RANK(X19,$X$15:$X$74,0)</f>
        <v/>
      </c>
      <c r="Z19" s="58">
        <f>IF(X19&lt;=35.99,"Least Mastered",IF(X19&lt;=74.99,"Nearly Mastered",IF(X19&lt;=90.99,"Mastered",IF(X19&lt;=100,"Highly Mastered"))))</f>
        <v/>
      </c>
    </row>
    <row r="20" ht="15.75" customHeight="1" s="1">
      <c r="A20" s="52">
        <f>A19+1</f>
        <v/>
      </c>
      <c r="B20" s="55" t="n"/>
      <c r="C20" s="55" t="n"/>
      <c r="D20" s="55" t="n"/>
      <c r="E20" s="55" t="n"/>
      <c r="F20" s="55" t="n"/>
      <c r="G20" s="55" t="n"/>
      <c r="H20" s="55" t="n"/>
      <c r="I20" s="55" t="n"/>
      <c r="J20" s="55" t="n"/>
      <c r="K20" s="55" t="n"/>
      <c r="L20" s="55" t="n"/>
      <c r="M20" s="311" t="n"/>
      <c r="N20" s="55" t="n"/>
      <c r="O20" s="55" t="n"/>
      <c r="P20" s="311" t="n"/>
      <c r="Q20" s="311" t="n"/>
      <c r="R20" s="55" t="n"/>
      <c r="S20" s="55" t="n"/>
      <c r="T20" s="55" t="n"/>
      <c r="U20" s="55" t="n"/>
      <c r="V20" s="55" t="n"/>
      <c r="W20" s="56">
        <f>IF(SUM(B20:V20)=0,"",SUM(B20:V20))</f>
        <v/>
      </c>
      <c r="X20" s="312">
        <f>IF(COUNTBLANK(B20:V20)=21,"",ROUND((W20/($W$13))*100,2))</f>
        <v/>
      </c>
      <c r="Y20" s="56">
        <f>RANK(X20,$X$15:$X$74,0)</f>
        <v/>
      </c>
      <c r="Z20" s="58">
        <f>IF(X20&lt;=35.99,"Least Mastered",IF(X20&lt;=74.99,"Nearly Mastered",IF(X20&lt;=90.99,"Mastered",IF(X20&lt;=100,"Highly Mastered"))))</f>
        <v/>
      </c>
    </row>
    <row r="21" ht="15.75" customHeight="1" s="1">
      <c r="A21" s="52">
        <f>A20+1</f>
        <v/>
      </c>
      <c r="B21" s="55" t="n"/>
      <c r="C21" s="55" t="n"/>
      <c r="D21" s="55" t="n"/>
      <c r="E21" s="55" t="n"/>
      <c r="F21" s="55" t="n"/>
      <c r="G21" s="55" t="n"/>
      <c r="H21" s="55" t="n"/>
      <c r="I21" s="55" t="n"/>
      <c r="J21" s="55" t="n"/>
      <c r="K21" s="55" t="n"/>
      <c r="L21" s="55" t="n"/>
      <c r="M21" s="311" t="n"/>
      <c r="N21" s="55" t="n"/>
      <c r="O21" s="55" t="n"/>
      <c r="P21" s="311" t="n"/>
      <c r="Q21" s="311" t="n"/>
      <c r="R21" s="55" t="n"/>
      <c r="S21" s="55" t="n"/>
      <c r="T21" s="55" t="n"/>
      <c r="U21" s="55" t="n"/>
      <c r="V21" s="55" t="n"/>
      <c r="W21" s="56">
        <f>IF(SUM(B21:V21)=0,"",SUM(B21:V21))</f>
        <v/>
      </c>
      <c r="X21" s="312">
        <f>IF(COUNTBLANK(B21:V21)=21,"",ROUND((W21/($W$13))*100,2))</f>
        <v/>
      </c>
      <c r="Y21" s="56">
        <f>RANK(X21,$X$15:$X$74,0)</f>
        <v/>
      </c>
      <c r="Z21" s="58">
        <f>IF(X21&lt;=35.99,"Least Mastered",IF(X21&lt;=74.99,"Nearly Mastered",IF(X21&lt;=90.99,"Mastered",IF(X21&lt;=100,"Highly Mastered"))))</f>
        <v/>
      </c>
    </row>
    <row r="22" ht="15.75" customHeight="1" s="1">
      <c r="A22" s="52">
        <f>A21+1</f>
        <v/>
      </c>
      <c r="B22" s="55" t="n"/>
      <c r="C22" s="55" t="n"/>
      <c r="D22" s="55" t="n"/>
      <c r="E22" s="55" t="n"/>
      <c r="F22" s="55" t="n"/>
      <c r="G22" s="55" t="n"/>
      <c r="H22" s="55" t="n"/>
      <c r="I22" s="55" t="n"/>
      <c r="J22" s="55" t="n"/>
      <c r="K22" s="55" t="n"/>
      <c r="L22" s="55" t="n"/>
      <c r="M22" s="311" t="n"/>
      <c r="N22" s="55" t="n"/>
      <c r="O22" s="55" t="n"/>
      <c r="P22" s="311" t="n"/>
      <c r="Q22" s="311" t="n"/>
      <c r="R22" s="55" t="n"/>
      <c r="S22" s="55" t="n"/>
      <c r="T22" s="55" t="n"/>
      <c r="U22" s="55" t="n"/>
      <c r="V22" s="55" t="n"/>
      <c r="W22" s="56">
        <f>IF(SUM(B22:V22)=0,"",SUM(B22:V22))</f>
        <v/>
      </c>
      <c r="X22" s="312">
        <f>IF(COUNTBLANK(B22:V22)=21,"",ROUND((W22/($W$13))*100,2))</f>
        <v/>
      </c>
      <c r="Y22" s="56">
        <f>RANK(X22,$X$15:$X$74,0)</f>
        <v/>
      </c>
      <c r="Z22" s="58">
        <f>IF(X22&lt;=35.99,"Least Mastered",IF(X22&lt;=74.99,"Nearly Mastered",IF(X22&lt;=90.99,"Mastered",IF(X22&lt;=100,"Highly Mastered"))))</f>
        <v/>
      </c>
    </row>
    <row r="23" ht="15.75" customHeight="1" s="1">
      <c r="A23" s="52">
        <f>A22+1</f>
        <v/>
      </c>
      <c r="B23" s="55" t="n"/>
      <c r="C23" s="55" t="n"/>
      <c r="D23" s="55" t="n"/>
      <c r="E23" s="55" t="n"/>
      <c r="F23" s="55" t="n"/>
      <c r="G23" s="55" t="n"/>
      <c r="H23" s="55" t="n"/>
      <c r="I23" s="55" t="n"/>
      <c r="J23" s="55" t="n"/>
      <c r="K23" s="55" t="n"/>
      <c r="L23" s="55" t="n"/>
      <c r="M23" s="311" t="n"/>
      <c r="N23" s="55" t="n"/>
      <c r="O23" s="55" t="n"/>
      <c r="P23" s="311" t="n"/>
      <c r="Q23" s="311" t="n"/>
      <c r="R23" s="55" t="n"/>
      <c r="S23" s="55" t="n"/>
      <c r="T23" s="55" t="n"/>
      <c r="U23" s="55" t="n"/>
      <c r="V23" s="55" t="n"/>
      <c r="W23" s="56">
        <f>IF(SUM(B23:V23)=0,"",SUM(B23:V23))</f>
        <v/>
      </c>
      <c r="X23" s="312">
        <f>IF(COUNTBLANK(B23:V23)=21,"",ROUND((W23/($W$13))*100,2))</f>
        <v/>
      </c>
      <c r="Y23" s="56">
        <f>RANK(X23,$X$15:$X$74,0)</f>
        <v/>
      </c>
      <c r="Z23" s="58">
        <f>IF(X23&lt;=35.99,"Least Mastered",IF(X23&lt;=74.99,"Nearly Mastered",IF(X23&lt;=90.99,"Mastered",IF(X23&lt;=100,"Highly Mastered"))))</f>
        <v/>
      </c>
    </row>
    <row r="24" ht="15.75" customHeight="1" s="1">
      <c r="A24" s="52">
        <f>A23+1</f>
        <v/>
      </c>
      <c r="B24" s="55" t="n"/>
      <c r="C24" s="55" t="n"/>
      <c r="D24" s="55" t="n"/>
      <c r="E24" s="55" t="n"/>
      <c r="F24" s="55" t="n"/>
      <c r="G24" s="55" t="n"/>
      <c r="H24" s="55" t="n"/>
      <c r="I24" s="55" t="n"/>
      <c r="J24" s="55" t="n"/>
      <c r="K24" s="55" t="n"/>
      <c r="L24" s="55" t="n"/>
      <c r="M24" s="311" t="n"/>
      <c r="N24" s="55" t="n"/>
      <c r="O24" s="55" t="n"/>
      <c r="P24" s="311" t="n"/>
      <c r="Q24" s="311" t="n"/>
      <c r="R24" s="55" t="n"/>
      <c r="S24" s="55" t="n"/>
      <c r="T24" s="55" t="n"/>
      <c r="U24" s="55" t="n"/>
      <c r="V24" s="55" t="n"/>
      <c r="W24" s="56">
        <f>IF(SUM(B24:V24)=0,"",SUM(B24:V24))</f>
        <v/>
      </c>
      <c r="X24" s="312">
        <f>IF(COUNTBLANK(B24:V24)=21,"",ROUND((W24/($W$13))*100,2))</f>
        <v/>
      </c>
      <c r="Y24" s="56">
        <f>RANK(X24,$X$15:$X$74,0)</f>
        <v/>
      </c>
      <c r="Z24" s="58">
        <f>IF(X24&lt;=35.99,"Least Mastered",IF(X24&lt;=74.99,"Nearly Mastered",IF(X24&lt;=90.99,"Mastered",IF(X24&lt;=100,"Highly Mastered"))))</f>
        <v/>
      </c>
    </row>
    <row r="25" ht="15.75" customHeight="1" s="1">
      <c r="A25" s="52">
        <f>A24+1</f>
        <v/>
      </c>
      <c r="B25" s="55" t="n"/>
      <c r="C25" s="55" t="n"/>
      <c r="D25" s="55" t="n"/>
      <c r="E25" s="55" t="n"/>
      <c r="F25" s="55" t="n"/>
      <c r="G25" s="55" t="n"/>
      <c r="H25" s="55" t="n"/>
      <c r="I25" s="55" t="n"/>
      <c r="J25" s="55" t="n"/>
      <c r="K25" s="55" t="n"/>
      <c r="L25" s="55" t="n"/>
      <c r="M25" s="311" t="n"/>
      <c r="N25" s="55" t="n"/>
      <c r="O25" s="55" t="n"/>
      <c r="P25" s="311" t="n"/>
      <c r="Q25" s="311" t="n"/>
      <c r="R25" s="55" t="n"/>
      <c r="S25" s="55" t="n"/>
      <c r="T25" s="55" t="n"/>
      <c r="U25" s="55" t="n"/>
      <c r="V25" s="55" t="n"/>
      <c r="W25" s="56">
        <f>IF(SUM(B25:V25)=0,"",SUM(B25:V25))</f>
        <v/>
      </c>
      <c r="X25" s="312">
        <f>IF(COUNTBLANK(B25:V25)=21,"",ROUND((W25/($W$13))*100,2))</f>
        <v/>
      </c>
      <c r="Y25" s="56">
        <f>RANK(X25,$X$15:$X$74,0)</f>
        <v/>
      </c>
      <c r="Z25" s="58">
        <f>IF(X25&lt;=35.99,"Least Mastered",IF(X25&lt;=74.99,"Nearly Mastered",IF(X25&lt;=90.99,"Mastered",IF(X25&lt;=100,"Highly Mastered"))))</f>
        <v/>
      </c>
    </row>
    <row r="26" ht="15.75" customHeight="1" s="1">
      <c r="A26" s="52">
        <f>A25+1</f>
        <v/>
      </c>
      <c r="B26" s="55" t="n"/>
      <c r="C26" s="55" t="n"/>
      <c r="D26" s="55" t="n"/>
      <c r="E26" s="55" t="n"/>
      <c r="F26" s="55" t="n"/>
      <c r="G26" s="55" t="n"/>
      <c r="H26" s="55" t="n"/>
      <c r="I26" s="55" t="n"/>
      <c r="J26" s="55" t="n"/>
      <c r="K26" s="55" t="n"/>
      <c r="L26" s="55" t="n"/>
      <c r="M26" s="311" t="n"/>
      <c r="N26" s="55" t="n"/>
      <c r="O26" s="55" t="n"/>
      <c r="P26" s="311" t="n"/>
      <c r="Q26" s="311" t="n"/>
      <c r="R26" s="55" t="n"/>
      <c r="S26" s="55" t="n"/>
      <c r="T26" s="55" t="n"/>
      <c r="U26" s="55" t="n"/>
      <c r="V26" s="55" t="n"/>
      <c r="W26" s="56">
        <f>IF(SUM(B26:V26)=0,"",SUM(B26:V26))</f>
        <v/>
      </c>
      <c r="X26" s="312">
        <f>IF(COUNTBLANK(B26:V26)=21,"",ROUND((W26/($W$13))*100,2))</f>
        <v/>
      </c>
      <c r="Y26" s="56">
        <f>RANK(X26,$X$15:$X$74,0)</f>
        <v/>
      </c>
      <c r="Z26" s="58">
        <f>IF(X26&lt;=35.99,"Least Mastered",IF(X26&lt;=74.99,"Nearly Mastered",IF(X26&lt;=90.99,"Mastered",IF(X26&lt;=100,"Highly Mastered"))))</f>
        <v/>
      </c>
    </row>
    <row r="27" ht="15.75" customHeight="1" s="1">
      <c r="A27" s="52">
        <f>A26+1</f>
        <v/>
      </c>
      <c r="B27" s="55" t="n"/>
      <c r="C27" s="55" t="n"/>
      <c r="D27" s="55" t="n"/>
      <c r="E27" s="55" t="n"/>
      <c r="F27" s="55" t="n"/>
      <c r="G27" s="55" t="n"/>
      <c r="H27" s="55" t="n"/>
      <c r="I27" s="55" t="n"/>
      <c r="J27" s="55" t="n"/>
      <c r="K27" s="55" t="n"/>
      <c r="L27" s="55" t="n"/>
      <c r="M27" s="311" t="n"/>
      <c r="N27" s="55" t="n"/>
      <c r="O27" s="55" t="n"/>
      <c r="P27" s="311" t="n"/>
      <c r="Q27" s="311" t="n"/>
      <c r="R27" s="55" t="n"/>
      <c r="S27" s="55" t="n"/>
      <c r="T27" s="55" t="n"/>
      <c r="U27" s="55" t="n"/>
      <c r="V27" s="55" t="n"/>
      <c r="W27" s="56">
        <f>IF(SUM(B27:V27)=0,"",SUM(B27:V27))</f>
        <v/>
      </c>
      <c r="X27" s="312">
        <f>IF(COUNTBLANK(B27:V27)=21,"",ROUND((W27/($W$13))*100,2))</f>
        <v/>
      </c>
      <c r="Y27" s="56">
        <f>RANK(X27,$X$15:$X$74,0)</f>
        <v/>
      </c>
      <c r="Z27" s="58">
        <f>IF(X27&lt;=35.99,"Least Mastered",IF(X27&lt;=74.99,"Nearly Mastered",IF(X27&lt;=90.99,"Mastered",IF(X27&lt;=100,"Highly Mastered"))))</f>
        <v/>
      </c>
    </row>
    <row r="28" ht="15.75" customHeight="1" s="1">
      <c r="A28" s="52">
        <f>A27+1</f>
        <v/>
      </c>
      <c r="B28" s="55" t="n"/>
      <c r="C28" s="55" t="n"/>
      <c r="D28" s="55" t="n"/>
      <c r="E28" s="55" t="n"/>
      <c r="F28" s="55" t="n"/>
      <c r="G28" s="55" t="n"/>
      <c r="H28" s="55" t="n"/>
      <c r="I28" s="55" t="n"/>
      <c r="J28" s="55" t="n"/>
      <c r="K28" s="55" t="n"/>
      <c r="L28" s="55" t="n"/>
      <c r="M28" s="311" t="n"/>
      <c r="N28" s="55" t="n"/>
      <c r="O28" s="55" t="n"/>
      <c r="P28" s="311" t="n"/>
      <c r="Q28" s="311" t="n"/>
      <c r="R28" s="55" t="n"/>
      <c r="S28" s="55" t="n"/>
      <c r="T28" s="55" t="n"/>
      <c r="U28" s="55" t="n"/>
      <c r="V28" s="55" t="n"/>
      <c r="W28" s="56">
        <f>IF(SUM(B28:V28)=0,"",SUM(B28:V28))</f>
        <v/>
      </c>
      <c r="X28" s="312">
        <f>IF(COUNTBLANK(B28:V28)=21,"",ROUND((W28/($W$13))*100,2))</f>
        <v/>
      </c>
      <c r="Y28" s="56">
        <f>RANK(X28,$X$15:$X$74,0)</f>
        <v/>
      </c>
      <c r="Z28" s="58">
        <f>IF(X28&lt;=35.99,"Least Mastered",IF(X28&lt;=74.99,"Nearly Mastered",IF(X28&lt;=90.99,"Mastered",IF(X28&lt;=100,"Highly Mastered"))))</f>
        <v/>
      </c>
    </row>
    <row r="29" ht="15.75" customHeight="1" s="1">
      <c r="A29" s="52">
        <f>A28+1</f>
        <v/>
      </c>
      <c r="B29" s="55" t="n"/>
      <c r="C29" s="55" t="n"/>
      <c r="D29" s="55" t="n"/>
      <c r="E29" s="55" t="n"/>
      <c r="F29" s="55" t="n"/>
      <c r="G29" s="55" t="n"/>
      <c r="H29" s="55" t="n"/>
      <c r="I29" s="55" t="n"/>
      <c r="J29" s="55" t="n"/>
      <c r="K29" s="55" t="n"/>
      <c r="L29" s="55" t="n"/>
      <c r="M29" s="311" t="n"/>
      <c r="N29" s="55" t="n"/>
      <c r="O29" s="55" t="n"/>
      <c r="P29" s="311" t="n"/>
      <c r="Q29" s="311" t="n"/>
      <c r="R29" s="55" t="n"/>
      <c r="S29" s="55" t="n"/>
      <c r="T29" s="55" t="n"/>
      <c r="U29" s="55" t="n"/>
      <c r="V29" s="55" t="n"/>
      <c r="W29" s="56">
        <f>IF(SUM(B29:V29)=0,"",SUM(B29:V29))</f>
        <v/>
      </c>
      <c r="X29" s="312">
        <f>IF(COUNTBLANK(B29:V29)=21,"",ROUND((W29/($W$13))*100,2))</f>
        <v/>
      </c>
      <c r="Y29" s="56">
        <f>RANK(X29,$X$15:$X$74,0)</f>
        <v/>
      </c>
      <c r="Z29" s="58">
        <f>IF(X29&lt;=35.99,"Least Mastered",IF(X29&lt;=74.99,"Nearly Mastered",IF(X29&lt;=90.99,"Mastered",IF(X29&lt;=100,"Highly Mastered"))))</f>
        <v/>
      </c>
    </row>
    <row r="30" ht="15.75" customHeight="1" s="1">
      <c r="A30" s="52">
        <f>A29+1</f>
        <v/>
      </c>
      <c r="B30" s="55" t="n"/>
      <c r="C30" s="55" t="n"/>
      <c r="D30" s="55" t="n"/>
      <c r="E30" s="55" t="n"/>
      <c r="F30" s="55" t="n"/>
      <c r="G30" s="55" t="n"/>
      <c r="H30" s="55" t="n"/>
      <c r="I30" s="55" t="n"/>
      <c r="J30" s="55" t="n"/>
      <c r="K30" s="55" t="n"/>
      <c r="L30" s="55" t="n"/>
      <c r="M30" s="311" t="n"/>
      <c r="N30" s="55" t="n"/>
      <c r="O30" s="55" t="n"/>
      <c r="P30" s="311" t="n"/>
      <c r="Q30" s="311" t="n"/>
      <c r="R30" s="55" t="n"/>
      <c r="S30" s="55" t="n"/>
      <c r="T30" s="55" t="n"/>
      <c r="U30" s="55" t="n"/>
      <c r="V30" s="55" t="n"/>
      <c r="W30" s="56">
        <f>IF(SUM(B30:V30)=0,"",SUM(B30:V30))</f>
        <v/>
      </c>
      <c r="X30" s="312">
        <f>IF(COUNTBLANK(B30:V30)=21,"",ROUND((W30/($W$13))*100,2))</f>
        <v/>
      </c>
      <c r="Y30" s="56">
        <f>RANK(X30,$X$15:$X$74,0)</f>
        <v/>
      </c>
      <c r="Z30" s="58">
        <f>IF(X30&lt;=35.99,"Least Mastered",IF(X30&lt;=74.99,"Nearly Mastered",IF(X30&lt;=90.99,"Mastered",IF(X30&lt;=100,"Highly Mastered"))))</f>
        <v/>
      </c>
    </row>
    <row r="31" ht="15.75" customHeight="1" s="1">
      <c r="A31" s="52">
        <f>A30+1</f>
        <v/>
      </c>
      <c r="B31" s="55" t="n"/>
      <c r="C31" s="55" t="n"/>
      <c r="D31" s="55" t="n"/>
      <c r="E31" s="55" t="n"/>
      <c r="F31" s="55" t="n"/>
      <c r="G31" s="55" t="n"/>
      <c r="H31" s="55" t="n"/>
      <c r="I31" s="55" t="n"/>
      <c r="J31" s="55" t="n"/>
      <c r="K31" s="55" t="n"/>
      <c r="L31" s="55" t="n"/>
      <c r="M31" s="311" t="n"/>
      <c r="N31" s="55" t="n"/>
      <c r="O31" s="55" t="n"/>
      <c r="P31" s="311" t="n"/>
      <c r="Q31" s="311" t="n"/>
      <c r="R31" s="55" t="n"/>
      <c r="S31" s="55" t="n"/>
      <c r="T31" s="55" t="n"/>
      <c r="U31" s="55" t="n"/>
      <c r="V31" s="55" t="n"/>
      <c r="W31" s="56">
        <f>IF(SUM(B31:V31)=0,"",SUM(B31:V31))</f>
        <v/>
      </c>
      <c r="X31" s="312">
        <f>IF(COUNTBLANK(B31:V31)=21,"",ROUND((W31/($W$13))*100,2))</f>
        <v/>
      </c>
      <c r="Y31" s="56">
        <f>RANK(X31,$X$15:$X$74,0)</f>
        <v/>
      </c>
      <c r="Z31" s="58">
        <f>IF(X31&lt;=35.99,"Least Mastered",IF(X31&lt;=74.99,"Nearly Mastered",IF(X31&lt;=90.99,"Mastered",IF(X31&lt;=100,"Highly Mastered"))))</f>
        <v/>
      </c>
    </row>
    <row r="32" ht="15.75" customHeight="1" s="1">
      <c r="A32" s="52">
        <f>A31+1</f>
        <v/>
      </c>
      <c r="B32" s="55" t="n"/>
      <c r="C32" s="55" t="n"/>
      <c r="D32" s="55" t="n"/>
      <c r="E32" s="55" t="n"/>
      <c r="F32" s="55" t="n"/>
      <c r="G32" s="55" t="n"/>
      <c r="H32" s="55" t="n"/>
      <c r="I32" s="55" t="n"/>
      <c r="J32" s="55" t="n"/>
      <c r="K32" s="55" t="n"/>
      <c r="L32" s="55" t="n"/>
      <c r="M32" s="311" t="n"/>
      <c r="N32" s="55" t="n"/>
      <c r="O32" s="55" t="n"/>
      <c r="P32" s="311" t="n"/>
      <c r="Q32" s="311" t="n"/>
      <c r="R32" s="55" t="n"/>
      <c r="S32" s="55" t="n"/>
      <c r="T32" s="55" t="n"/>
      <c r="U32" s="55" t="n"/>
      <c r="V32" s="55" t="n"/>
      <c r="W32" s="56">
        <f>IF(SUM(B32:V32)=0,"",SUM(B32:V32))</f>
        <v/>
      </c>
      <c r="X32" s="312">
        <f>IF(COUNTBLANK(B32:V32)=21,"",ROUND((W32/($W$13))*100,2))</f>
        <v/>
      </c>
      <c r="Y32" s="56">
        <f>RANK(X32,$X$15:$X$74,0)</f>
        <v/>
      </c>
      <c r="Z32" s="58">
        <f>IF(X32&lt;=35.99,"Least Mastered",IF(X32&lt;=74.99,"Nearly Mastered",IF(X32&lt;=90.99,"Mastered",IF(X32&lt;=100,"Highly Mastered"))))</f>
        <v/>
      </c>
    </row>
    <row r="33" ht="15.75" customHeight="1" s="1">
      <c r="A33" s="52">
        <f>A32+1</f>
        <v/>
      </c>
      <c r="B33" s="55" t="n"/>
      <c r="C33" s="55" t="n"/>
      <c r="D33" s="55" t="n"/>
      <c r="E33" s="55" t="n"/>
      <c r="F33" s="55" t="n"/>
      <c r="G33" s="55" t="n"/>
      <c r="H33" s="55" t="n"/>
      <c r="I33" s="55" t="n"/>
      <c r="J33" s="55" t="n"/>
      <c r="K33" s="55" t="n"/>
      <c r="L33" s="55" t="n"/>
      <c r="M33" s="311" t="n"/>
      <c r="N33" s="55" t="n"/>
      <c r="O33" s="55" t="n"/>
      <c r="P33" s="311" t="n"/>
      <c r="Q33" s="311" t="n"/>
      <c r="R33" s="55" t="n"/>
      <c r="S33" s="55" t="n"/>
      <c r="T33" s="55" t="n"/>
      <c r="U33" s="55" t="n"/>
      <c r="V33" s="55" t="n"/>
      <c r="W33" s="56">
        <f>IF(SUM(B33:V33)=0,"",SUM(B33:V33))</f>
        <v/>
      </c>
      <c r="X33" s="312">
        <f>IF(COUNTBLANK(B33:V33)=21,"",ROUND((W33/($W$13))*100,2))</f>
        <v/>
      </c>
      <c r="Y33" s="56">
        <f>RANK(X33,$X$15:$X$74,0)</f>
        <v/>
      </c>
      <c r="Z33" s="58">
        <f>IF(X33&lt;=35.99,"Least Mastered",IF(X33&lt;=74.99,"Nearly Mastered",IF(X33&lt;=90.99,"Mastered",IF(X33&lt;=100,"Highly Mastered"))))</f>
        <v/>
      </c>
    </row>
    <row r="34" ht="15.75" customHeight="1" s="1">
      <c r="A34" s="52">
        <f>A33+1</f>
        <v/>
      </c>
      <c r="B34" s="55" t="n"/>
      <c r="C34" s="55" t="n"/>
      <c r="D34" s="55" t="n"/>
      <c r="E34" s="55" t="n"/>
      <c r="F34" s="55" t="n"/>
      <c r="G34" s="55" t="n"/>
      <c r="H34" s="55" t="n"/>
      <c r="I34" s="55" t="n"/>
      <c r="J34" s="55" t="n"/>
      <c r="K34" s="55" t="n"/>
      <c r="L34" s="55" t="n"/>
      <c r="M34" s="311" t="n"/>
      <c r="N34" s="55" t="n"/>
      <c r="O34" s="55" t="n"/>
      <c r="P34" s="311" t="n"/>
      <c r="Q34" s="311" t="n"/>
      <c r="R34" s="55" t="n"/>
      <c r="S34" s="55" t="n"/>
      <c r="T34" s="55" t="n"/>
      <c r="U34" s="55" t="n"/>
      <c r="V34" s="55" t="n"/>
      <c r="W34" s="56">
        <f>IF(SUM(B34:V34)=0,"",SUM(B34:V34))</f>
        <v/>
      </c>
      <c r="X34" s="312">
        <f>IF(COUNTBLANK(B34:V34)=21,"",ROUND((W34/($W$13))*100,2))</f>
        <v/>
      </c>
      <c r="Y34" s="56">
        <f>RANK(X34,$X$15:$X$74,0)</f>
        <v/>
      </c>
      <c r="Z34" s="58">
        <f>IF(X34&lt;=35.99,"Least Mastered",IF(X34&lt;=74.99,"Nearly Mastered",IF(X34&lt;=90.99,"Mastered",IF(X34&lt;=100,"Highly Mastered"))))</f>
        <v/>
      </c>
    </row>
    <row r="35" ht="15.75" customHeight="1" s="1">
      <c r="A35" s="52">
        <f>A34+1</f>
        <v/>
      </c>
      <c r="B35" s="55" t="n"/>
      <c r="C35" s="55" t="n"/>
      <c r="D35" s="55" t="n"/>
      <c r="E35" s="55" t="n"/>
      <c r="F35" s="55" t="n"/>
      <c r="G35" s="55" t="n"/>
      <c r="H35" s="55" t="n"/>
      <c r="I35" s="55" t="n"/>
      <c r="J35" s="55" t="n"/>
      <c r="K35" s="55" t="n"/>
      <c r="L35" s="55" t="n"/>
      <c r="M35" s="311" t="n"/>
      <c r="N35" s="55" t="n"/>
      <c r="O35" s="55" t="n"/>
      <c r="P35" s="311" t="n"/>
      <c r="Q35" s="311" t="n"/>
      <c r="R35" s="55" t="n"/>
      <c r="S35" s="55" t="n"/>
      <c r="T35" s="55" t="n"/>
      <c r="U35" s="55" t="n"/>
      <c r="V35" s="55" t="n"/>
      <c r="W35" s="56">
        <f>IF(SUM(B35:V35)=0,"",SUM(B35:V35))</f>
        <v/>
      </c>
      <c r="X35" s="312">
        <f>IF(COUNTBLANK(B35:V35)=21,"",ROUND((W35/($W$13))*100,2))</f>
        <v/>
      </c>
      <c r="Y35" s="56">
        <f>RANK(X35,$X$15:$X$74,0)</f>
        <v/>
      </c>
      <c r="Z35" s="58">
        <f>IF(X35&lt;=35.99,"Least Mastered",IF(X35&lt;=74.99,"Nearly Mastered",IF(X35&lt;=90.99,"Mastered",IF(X35&lt;=100,"Highly Mastered"))))</f>
        <v/>
      </c>
    </row>
    <row r="36" ht="15.75" customHeight="1" s="1">
      <c r="A36" s="52">
        <f>A35+1</f>
        <v/>
      </c>
      <c r="B36" s="55" t="n"/>
      <c r="C36" s="55" t="n"/>
      <c r="D36" s="55" t="n"/>
      <c r="E36" s="55" t="n"/>
      <c r="F36" s="55" t="n"/>
      <c r="G36" s="55" t="n"/>
      <c r="H36" s="55" t="n"/>
      <c r="I36" s="55" t="n"/>
      <c r="J36" s="55" t="n"/>
      <c r="K36" s="55" t="n"/>
      <c r="L36" s="55" t="n"/>
      <c r="M36" s="311" t="n"/>
      <c r="N36" s="55" t="n"/>
      <c r="O36" s="55" t="n"/>
      <c r="P36" s="311" t="n"/>
      <c r="Q36" s="311" t="n"/>
      <c r="R36" s="55" t="n"/>
      <c r="S36" s="55" t="n"/>
      <c r="T36" s="55" t="n"/>
      <c r="U36" s="55" t="n"/>
      <c r="V36" s="55" t="n"/>
      <c r="W36" s="56">
        <f>IF(SUM(B36:V36)=0,"",SUM(B36:V36))</f>
        <v/>
      </c>
      <c r="X36" s="312">
        <f>IF(COUNTBLANK(B36:V36)=21,"",ROUND((W36/($W$13))*100,2))</f>
        <v/>
      </c>
      <c r="Y36" s="56">
        <f>RANK(X36,$X$15:$X$74,0)</f>
        <v/>
      </c>
      <c r="Z36" s="58">
        <f>IF(X36&lt;=35.99,"Least Mastered",IF(X36&lt;=74.99,"Nearly Mastered",IF(X36&lt;=90.99,"Mastered",IF(X36&lt;=100,"Highly Mastered"))))</f>
        <v/>
      </c>
    </row>
    <row r="37" ht="15.75" customHeight="1" s="1">
      <c r="A37" s="52">
        <f>A36+1</f>
        <v/>
      </c>
      <c r="B37" s="55" t="n"/>
      <c r="C37" s="55" t="n"/>
      <c r="D37" s="55" t="n"/>
      <c r="E37" s="55" t="n"/>
      <c r="F37" s="55" t="n"/>
      <c r="G37" s="55" t="n"/>
      <c r="H37" s="55" t="n"/>
      <c r="I37" s="55" t="n"/>
      <c r="J37" s="55" t="n"/>
      <c r="K37" s="55" t="n"/>
      <c r="L37" s="55" t="n"/>
      <c r="M37" s="311" t="n"/>
      <c r="N37" s="55" t="n"/>
      <c r="O37" s="55" t="n"/>
      <c r="P37" s="311" t="n"/>
      <c r="Q37" s="311" t="n"/>
      <c r="R37" s="55" t="n"/>
      <c r="S37" s="55" t="n"/>
      <c r="T37" s="55" t="n"/>
      <c r="U37" s="55" t="n"/>
      <c r="V37" s="55" t="n"/>
      <c r="W37" s="56">
        <f>IF(SUM(B37:V37)=0,"",SUM(B37:V37))</f>
        <v/>
      </c>
      <c r="X37" s="312">
        <f>IF(COUNTBLANK(B37:V37)=21,"",ROUND((W37/($W$13))*100,2))</f>
        <v/>
      </c>
      <c r="Y37" s="56">
        <f>RANK(X37,$X$15:$X$74,0)</f>
        <v/>
      </c>
      <c r="Z37" s="58">
        <f>IF(X37&lt;=35.99,"Least Mastered",IF(X37&lt;=74.99,"Nearly Mastered",IF(X37&lt;=90.99,"Mastered",IF(X37&lt;=100,"Highly Mastered"))))</f>
        <v/>
      </c>
    </row>
    <row r="38" ht="15.75" customHeight="1" s="1">
      <c r="A38" s="52">
        <f>A37+1</f>
        <v/>
      </c>
      <c r="B38" s="55" t="n"/>
      <c r="C38" s="55" t="n"/>
      <c r="D38" s="55" t="n"/>
      <c r="E38" s="55" t="n"/>
      <c r="F38" s="55" t="n"/>
      <c r="G38" s="55" t="n"/>
      <c r="H38" s="55" t="n"/>
      <c r="I38" s="55" t="n"/>
      <c r="J38" s="55" t="n"/>
      <c r="K38" s="55" t="n"/>
      <c r="L38" s="55" t="n"/>
      <c r="M38" s="311" t="n"/>
      <c r="N38" s="55" t="n"/>
      <c r="O38" s="55" t="n"/>
      <c r="P38" s="311" t="n"/>
      <c r="Q38" s="311" t="n"/>
      <c r="R38" s="55" t="n"/>
      <c r="S38" s="55" t="n"/>
      <c r="T38" s="55" t="n"/>
      <c r="U38" s="55" t="n"/>
      <c r="V38" s="55" t="n"/>
      <c r="W38" s="56">
        <f>IF(SUM(B38:V38)=0,"",SUM(B38:V38))</f>
        <v/>
      </c>
      <c r="X38" s="312">
        <f>IF(COUNTBLANK(B38:V38)=21,"",ROUND((W38/($W$13))*100,2))</f>
        <v/>
      </c>
      <c r="Y38" s="56">
        <f>RANK(X38,$X$15:$X$74,0)</f>
        <v/>
      </c>
      <c r="Z38" s="58">
        <f>IF(X38&lt;=35.99,"Least Mastered",IF(X38&lt;=74.99,"Nearly Mastered",IF(X38&lt;=90.99,"Mastered",IF(X38&lt;=100,"Highly Mastered"))))</f>
        <v/>
      </c>
    </row>
    <row r="39" ht="15.75" customHeight="1" s="1">
      <c r="A39" s="52">
        <f>A38+1</f>
        <v/>
      </c>
      <c r="B39" s="55" t="n"/>
      <c r="C39" s="55" t="n"/>
      <c r="D39" s="55" t="n"/>
      <c r="E39" s="55" t="n"/>
      <c r="F39" s="55" t="n"/>
      <c r="G39" s="55" t="n"/>
      <c r="H39" s="55" t="n"/>
      <c r="I39" s="55" t="n"/>
      <c r="J39" s="55" t="n"/>
      <c r="K39" s="55" t="n"/>
      <c r="L39" s="55" t="n"/>
      <c r="M39" s="311" t="n"/>
      <c r="N39" s="55" t="n"/>
      <c r="O39" s="55" t="n"/>
      <c r="P39" s="311" t="n"/>
      <c r="Q39" s="311" t="n"/>
      <c r="R39" s="55" t="n"/>
      <c r="S39" s="55" t="n"/>
      <c r="T39" s="55" t="n"/>
      <c r="U39" s="55" t="n"/>
      <c r="V39" s="55" t="n"/>
      <c r="W39" s="56">
        <f>IF(SUM(B39:V39)=0,"",SUM(B39:V39))</f>
        <v/>
      </c>
      <c r="X39" s="312">
        <f>IF(COUNTBLANK(B39:V39)=21,"",ROUND((W39/($W$13))*100,2))</f>
        <v/>
      </c>
      <c r="Y39" s="56">
        <f>RANK(X39,$X$15:$X$74,0)</f>
        <v/>
      </c>
      <c r="Z39" s="58">
        <f>IF(X39&lt;=35.99,"Least Mastered",IF(X39&lt;=74.99,"Nearly Mastered",IF(X39&lt;=90.99,"Mastered",IF(X39&lt;=100,"Highly Mastered"))))</f>
        <v/>
      </c>
    </row>
    <row r="40" ht="15.75" customHeight="1" s="1">
      <c r="A40" s="52">
        <f>A39+1</f>
        <v/>
      </c>
      <c r="B40" s="55" t="n"/>
      <c r="C40" s="55" t="n"/>
      <c r="D40" s="55" t="n"/>
      <c r="E40" s="55" t="n"/>
      <c r="F40" s="55" t="n"/>
      <c r="G40" s="55" t="n"/>
      <c r="H40" s="55" t="n"/>
      <c r="I40" s="55" t="n"/>
      <c r="J40" s="55" t="n"/>
      <c r="K40" s="55" t="n"/>
      <c r="L40" s="55" t="n"/>
      <c r="M40" s="311" t="n"/>
      <c r="N40" s="55" t="n"/>
      <c r="O40" s="55" t="n"/>
      <c r="P40" s="311" t="n"/>
      <c r="Q40" s="311" t="n"/>
      <c r="R40" s="55" t="n"/>
      <c r="S40" s="55" t="n"/>
      <c r="T40" s="55" t="n"/>
      <c r="U40" s="55" t="n"/>
      <c r="V40" s="55" t="n"/>
      <c r="W40" s="56">
        <f>IF(SUM(B40:V40)=0,"",SUM(B40:V40))</f>
        <v/>
      </c>
      <c r="X40" s="312">
        <f>IF(COUNTBLANK(B40:V40)=21,"",ROUND((W40/($W$13))*100,2))</f>
        <v/>
      </c>
      <c r="Y40" s="56">
        <f>RANK(X40,$X$15:$X$74,0)</f>
        <v/>
      </c>
      <c r="Z40" s="58">
        <f>IF(X40&lt;=35.99,"Least Mastered",IF(X40&lt;=74.99,"Nearly Mastered",IF(X40&lt;=90.99,"Mastered",IF(X40&lt;=100,"Highly Mastered"))))</f>
        <v/>
      </c>
    </row>
    <row r="41" ht="15.75" customHeight="1" s="1">
      <c r="A41" s="52">
        <f>A40+1</f>
        <v/>
      </c>
      <c r="B41" s="55" t="n"/>
      <c r="C41" s="55" t="n"/>
      <c r="D41" s="55" t="n"/>
      <c r="E41" s="55" t="n"/>
      <c r="F41" s="55" t="n"/>
      <c r="G41" s="55" t="n"/>
      <c r="H41" s="55" t="n"/>
      <c r="I41" s="55" t="n"/>
      <c r="J41" s="55" t="n"/>
      <c r="K41" s="55" t="n"/>
      <c r="L41" s="55" t="n"/>
      <c r="M41" s="311" t="n"/>
      <c r="N41" s="55" t="n"/>
      <c r="O41" s="55" t="n"/>
      <c r="P41" s="311" t="n"/>
      <c r="Q41" s="311" t="n"/>
      <c r="R41" s="55" t="n"/>
      <c r="S41" s="55" t="n"/>
      <c r="T41" s="55" t="n"/>
      <c r="U41" s="55" t="n"/>
      <c r="V41" s="55" t="n"/>
      <c r="W41" s="56">
        <f>IF(SUM(B41:V41)=0,"",SUM(B41:V41))</f>
        <v/>
      </c>
      <c r="X41" s="312">
        <f>IF(COUNTBLANK(B41:V41)=21,"",ROUND((W41/($W$13))*100,2))</f>
        <v/>
      </c>
      <c r="Y41" s="56">
        <f>RANK(X41,$X$15:$X$74,0)</f>
        <v/>
      </c>
      <c r="Z41" s="58">
        <f>IF(X41&lt;=35.99,"Least Mastered",IF(X41&lt;=74.99,"Nearly Mastered",IF(X41&lt;=90.99,"Mastered",IF(X41&lt;=100,"Highly Mastered"))))</f>
        <v/>
      </c>
    </row>
    <row r="42" ht="15.75" customHeight="1" s="1">
      <c r="A42" s="52">
        <f>A41+1</f>
        <v/>
      </c>
      <c r="B42" s="55" t="n"/>
      <c r="C42" s="55" t="n"/>
      <c r="D42" s="55" t="n"/>
      <c r="E42" s="55" t="n"/>
      <c r="F42" s="55" t="n"/>
      <c r="G42" s="55" t="n"/>
      <c r="H42" s="55" t="n"/>
      <c r="I42" s="55" t="n"/>
      <c r="J42" s="55" t="n"/>
      <c r="K42" s="55" t="n"/>
      <c r="L42" s="55" t="n"/>
      <c r="M42" s="311" t="n"/>
      <c r="N42" s="55" t="n"/>
      <c r="O42" s="55" t="n"/>
      <c r="P42" s="311" t="n"/>
      <c r="Q42" s="311" t="n"/>
      <c r="R42" s="55" t="n"/>
      <c r="S42" s="55" t="n"/>
      <c r="T42" s="55" t="n"/>
      <c r="U42" s="55" t="n"/>
      <c r="V42" s="55" t="n"/>
      <c r="W42" s="56">
        <f>IF(SUM(B42:V42)=0,"",SUM(B42:V42))</f>
        <v/>
      </c>
      <c r="X42" s="312">
        <f>IF(COUNTBLANK(B42:V42)=21,"",ROUND((W42/($W$13))*100,2))</f>
        <v/>
      </c>
      <c r="Y42" s="56">
        <f>RANK(X42,$X$15:$X$74,0)</f>
        <v/>
      </c>
      <c r="Z42" s="58">
        <f>IF(X42&lt;=35.99,"Least Mastered",IF(X42&lt;=74.99,"Nearly Mastered",IF(X42&lt;=90.99,"Mastered",IF(X42&lt;=100,"Highly Mastered"))))</f>
        <v/>
      </c>
    </row>
    <row r="43" ht="15.75" customHeight="1" s="1">
      <c r="A43" s="52">
        <f>A42+1</f>
        <v/>
      </c>
      <c r="B43" s="55" t="n"/>
      <c r="C43" s="55" t="n"/>
      <c r="D43" s="55" t="n"/>
      <c r="E43" s="55" t="n"/>
      <c r="F43" s="55" t="n"/>
      <c r="G43" s="55" t="n"/>
      <c r="H43" s="55" t="n"/>
      <c r="I43" s="55" t="n"/>
      <c r="J43" s="55" t="n"/>
      <c r="K43" s="55" t="n"/>
      <c r="L43" s="55" t="n"/>
      <c r="M43" s="311" t="n"/>
      <c r="N43" s="55" t="n"/>
      <c r="O43" s="55" t="n"/>
      <c r="P43" s="311" t="n"/>
      <c r="Q43" s="311" t="n"/>
      <c r="R43" s="55" t="n"/>
      <c r="S43" s="55" t="n"/>
      <c r="T43" s="55" t="n"/>
      <c r="U43" s="55" t="n"/>
      <c r="V43" s="55" t="n"/>
      <c r="W43" s="56">
        <f>IF(SUM(B43:V43)=0,"",SUM(B43:V43))</f>
        <v/>
      </c>
      <c r="X43" s="312">
        <f>IF(COUNTBLANK(B43:V43)=21,"",ROUND((W43/($W$13))*100,2))</f>
        <v/>
      </c>
      <c r="Y43" s="56">
        <f>RANK(X43,$X$15:$X$74,0)</f>
        <v/>
      </c>
      <c r="Z43" s="58">
        <f>IF(X43&lt;=35.99,"Least Mastered",IF(X43&lt;=74.99,"Nearly Mastered",IF(X43&lt;=90.99,"Mastered",IF(X43&lt;=100,"Highly Mastered"))))</f>
        <v/>
      </c>
    </row>
    <row r="44" ht="15.75" customHeight="1" s="1">
      <c r="A44" s="52">
        <f>A43+1</f>
        <v/>
      </c>
      <c r="B44" s="55" t="n"/>
      <c r="C44" s="55" t="n"/>
      <c r="D44" s="55" t="n"/>
      <c r="E44" s="55" t="n"/>
      <c r="F44" s="55" t="n"/>
      <c r="G44" s="55" t="n"/>
      <c r="H44" s="55" t="n"/>
      <c r="I44" s="55" t="n"/>
      <c r="J44" s="55" t="n"/>
      <c r="K44" s="55" t="n"/>
      <c r="L44" s="55" t="n"/>
      <c r="M44" s="311" t="n"/>
      <c r="N44" s="55" t="n"/>
      <c r="O44" s="55" t="n"/>
      <c r="P44" s="311" t="n"/>
      <c r="Q44" s="311" t="n"/>
      <c r="R44" s="55" t="n"/>
      <c r="S44" s="55" t="n"/>
      <c r="T44" s="55" t="n"/>
      <c r="U44" s="55" t="n"/>
      <c r="V44" s="55" t="n"/>
      <c r="W44" s="56">
        <f>IF(SUM(B44:V44)=0,"",SUM(B44:V44))</f>
        <v/>
      </c>
      <c r="X44" s="312">
        <f>IF(COUNTBLANK(B44:V44)=21,"",ROUND((W44/($W$13))*100,2))</f>
        <v/>
      </c>
      <c r="Y44" s="56">
        <f>RANK(X44,$X$15:$X$74,0)</f>
        <v/>
      </c>
      <c r="Z44" s="58">
        <f>IF(X44&lt;=35.99,"Least Mastered",IF(X44&lt;=74.99,"Nearly Mastered",IF(X44&lt;=90.99,"Mastered",IF(X44&lt;=100,"Highly Mastered"))))</f>
        <v/>
      </c>
    </row>
    <row r="45" ht="15.75" customHeight="1" s="1">
      <c r="A45" s="52">
        <f>A44+1</f>
        <v/>
      </c>
      <c r="B45" s="55" t="n"/>
      <c r="C45" s="55" t="n"/>
      <c r="D45" s="55" t="n"/>
      <c r="E45" s="55" t="n"/>
      <c r="F45" s="55" t="n"/>
      <c r="G45" s="55" t="n"/>
      <c r="H45" s="55" t="n"/>
      <c r="I45" s="55" t="n"/>
      <c r="J45" s="55" t="n"/>
      <c r="K45" s="55" t="n"/>
      <c r="L45" s="55" t="n"/>
      <c r="M45" s="311" t="n"/>
      <c r="N45" s="55" t="n"/>
      <c r="O45" s="55" t="n"/>
      <c r="P45" s="311" t="n"/>
      <c r="Q45" s="311" t="n"/>
      <c r="R45" s="55" t="n"/>
      <c r="S45" s="55" t="n"/>
      <c r="T45" s="55" t="n"/>
      <c r="U45" s="55" t="n"/>
      <c r="V45" s="55" t="n"/>
      <c r="W45" s="56">
        <f>IF(SUM(B45:V45)=0,"",SUM(B45:V45))</f>
        <v/>
      </c>
      <c r="X45" s="312">
        <f>IF(COUNTBLANK(B45:V45)=21,"",ROUND((W45/($W$13))*100,2))</f>
        <v/>
      </c>
      <c r="Y45" s="56">
        <f>RANK(X45,$X$15:$X$74,0)</f>
        <v/>
      </c>
      <c r="Z45" s="58">
        <f>IF(X45&lt;=35.99,"Least Mastered",IF(X45&lt;=74.99,"Nearly Mastered",IF(X45&lt;=90.99,"Mastered",IF(X45&lt;=100,"Highly Mastered"))))</f>
        <v/>
      </c>
    </row>
    <row r="46" ht="15.75" customHeight="1" s="1">
      <c r="A46" s="52">
        <f>A45+1</f>
        <v/>
      </c>
      <c r="B46" s="55" t="n"/>
      <c r="C46" s="55" t="n"/>
      <c r="D46" s="55" t="n"/>
      <c r="E46" s="55" t="n"/>
      <c r="F46" s="55" t="n"/>
      <c r="G46" s="55" t="n"/>
      <c r="H46" s="55" t="n"/>
      <c r="I46" s="55" t="n"/>
      <c r="J46" s="55" t="n"/>
      <c r="K46" s="55" t="n"/>
      <c r="L46" s="55" t="n"/>
      <c r="M46" s="311" t="n"/>
      <c r="N46" s="55" t="n"/>
      <c r="O46" s="55" t="n"/>
      <c r="P46" s="311" t="n"/>
      <c r="Q46" s="311" t="n"/>
      <c r="R46" s="55" t="n"/>
      <c r="S46" s="55" t="n"/>
      <c r="T46" s="55" t="n"/>
      <c r="U46" s="55" t="n"/>
      <c r="V46" s="55" t="n"/>
      <c r="W46" s="56">
        <f>IF(SUM(B46:V46)=0,"",SUM(B46:V46))</f>
        <v/>
      </c>
      <c r="X46" s="312">
        <f>IF(COUNTBLANK(B46:V46)=21,"",ROUND((W46/($W$13))*100,2))</f>
        <v/>
      </c>
      <c r="Y46" s="56">
        <f>RANK(X46,$X$15:$X$74,0)</f>
        <v/>
      </c>
      <c r="Z46" s="58">
        <f>IF(X46&lt;=35.99,"Least Mastered",IF(X46&lt;=74.99,"Nearly Mastered",IF(X46&lt;=90.99,"Mastered",IF(X46&lt;=100,"Highly Mastered"))))</f>
        <v/>
      </c>
    </row>
    <row r="47" ht="15.75" customHeight="1" s="1">
      <c r="A47" s="52">
        <f>A46+1</f>
        <v/>
      </c>
      <c r="B47" s="55" t="n"/>
      <c r="C47" s="55" t="n"/>
      <c r="D47" s="55" t="n"/>
      <c r="E47" s="55" t="n"/>
      <c r="F47" s="55" t="n"/>
      <c r="G47" s="55" t="n"/>
      <c r="H47" s="55" t="n"/>
      <c r="I47" s="55" t="n"/>
      <c r="J47" s="55" t="n"/>
      <c r="K47" s="55" t="n"/>
      <c r="L47" s="55" t="n"/>
      <c r="M47" s="311" t="n"/>
      <c r="N47" s="55" t="n"/>
      <c r="O47" s="55" t="n"/>
      <c r="P47" s="311" t="n"/>
      <c r="Q47" s="311" t="n"/>
      <c r="R47" s="55" t="n"/>
      <c r="S47" s="55" t="n"/>
      <c r="T47" s="55" t="n"/>
      <c r="U47" s="55" t="n"/>
      <c r="V47" s="55" t="n"/>
      <c r="W47" s="56">
        <f>IF(SUM(B47:V47)=0,"",SUM(B47:V47))</f>
        <v/>
      </c>
      <c r="X47" s="312">
        <f>IF(COUNTBLANK(B47:V47)=21,"",ROUND((W47/($W$13))*100,2))</f>
        <v/>
      </c>
      <c r="Y47" s="56">
        <f>RANK(X47,$X$15:$X$74,0)</f>
        <v/>
      </c>
      <c r="Z47" s="58">
        <f>IF(X47&lt;=35.99,"Least Mastered",IF(X47&lt;=74.99,"Nearly Mastered",IF(X47&lt;=90.99,"Mastered",IF(X47&lt;=100,"Highly Mastered"))))</f>
        <v/>
      </c>
    </row>
    <row r="48" ht="15.75" customHeight="1" s="1">
      <c r="A48" s="52">
        <f>A47+1</f>
        <v/>
      </c>
      <c r="B48" s="55" t="n"/>
      <c r="C48" s="55" t="n"/>
      <c r="D48" s="55" t="n"/>
      <c r="E48" s="55" t="n"/>
      <c r="F48" s="55" t="n"/>
      <c r="G48" s="55" t="n"/>
      <c r="H48" s="55" t="n"/>
      <c r="I48" s="55" t="n"/>
      <c r="J48" s="55" t="n"/>
      <c r="K48" s="55" t="n"/>
      <c r="L48" s="55" t="n"/>
      <c r="M48" s="311" t="n"/>
      <c r="N48" s="55" t="n"/>
      <c r="O48" s="55" t="n"/>
      <c r="P48" s="311" t="n"/>
      <c r="Q48" s="311" t="n"/>
      <c r="R48" s="55" t="n"/>
      <c r="S48" s="55" t="n"/>
      <c r="T48" s="55" t="n"/>
      <c r="U48" s="55" t="n"/>
      <c r="V48" s="55" t="n"/>
      <c r="W48" s="56">
        <f>IF(SUM(B48:V48)=0,"",SUM(B48:V48))</f>
        <v/>
      </c>
      <c r="X48" s="312">
        <f>IF(COUNTBLANK(B48:V48)=21,"",ROUND((W48/($W$13))*100,2))</f>
        <v/>
      </c>
      <c r="Y48" s="56">
        <f>RANK(X48,$X$15:$X$74,0)</f>
        <v/>
      </c>
      <c r="Z48" s="58">
        <f>IF(X48&lt;=35.99,"Least Mastered",IF(X48&lt;=74.99,"Nearly Mastered",IF(X48&lt;=90.99,"Mastered",IF(X48&lt;=100,"Highly Mastered"))))</f>
        <v/>
      </c>
    </row>
    <row r="49" ht="15.75" customHeight="1" s="1">
      <c r="A49" s="52">
        <f>A48+1</f>
        <v/>
      </c>
      <c r="B49" s="55" t="n"/>
      <c r="C49" s="55" t="n"/>
      <c r="D49" s="55" t="n"/>
      <c r="E49" s="55" t="n"/>
      <c r="F49" s="55" t="n"/>
      <c r="G49" s="55" t="n"/>
      <c r="H49" s="55" t="n"/>
      <c r="I49" s="55" t="n"/>
      <c r="J49" s="55" t="n"/>
      <c r="K49" s="55" t="n"/>
      <c r="L49" s="55" t="n"/>
      <c r="M49" s="311" t="n"/>
      <c r="N49" s="55" t="n"/>
      <c r="O49" s="55" t="n"/>
      <c r="P49" s="311" t="n"/>
      <c r="Q49" s="311" t="n"/>
      <c r="R49" s="55" t="n"/>
      <c r="S49" s="55" t="n"/>
      <c r="T49" s="55" t="n"/>
      <c r="U49" s="55" t="n"/>
      <c r="V49" s="55" t="n"/>
      <c r="W49" s="56">
        <f>IF(SUM(B49:V49)=0,"",SUM(B49:V49))</f>
        <v/>
      </c>
      <c r="X49" s="312">
        <f>IF(COUNTBLANK(B49:V49)=21,"",ROUND((W49/($W$13))*100,2))</f>
        <v/>
      </c>
      <c r="Y49" s="56">
        <f>RANK(X49,$X$15:$X$74,0)</f>
        <v/>
      </c>
      <c r="Z49" s="58">
        <f>IF(X49&lt;=35.99,"Least Mastered",IF(X49&lt;=74.99,"Nearly Mastered",IF(X49&lt;=90.99,"Mastered",IF(X49&lt;=100,"Highly Mastered"))))</f>
        <v/>
      </c>
    </row>
    <row r="50" ht="15.75" customHeight="1" s="1">
      <c r="A50" s="52">
        <f>A49+1</f>
        <v/>
      </c>
      <c r="B50" s="55" t="n"/>
      <c r="C50" s="55" t="n"/>
      <c r="D50" s="55" t="n"/>
      <c r="E50" s="55" t="n"/>
      <c r="F50" s="55" t="n"/>
      <c r="G50" s="55" t="n"/>
      <c r="H50" s="55" t="n"/>
      <c r="I50" s="55" t="n"/>
      <c r="J50" s="55" t="n"/>
      <c r="K50" s="55" t="n"/>
      <c r="L50" s="55" t="n"/>
      <c r="M50" s="311" t="n"/>
      <c r="N50" s="55" t="n"/>
      <c r="O50" s="55" t="n"/>
      <c r="P50" s="311" t="n"/>
      <c r="Q50" s="311" t="n"/>
      <c r="R50" s="55" t="n"/>
      <c r="S50" s="55" t="n"/>
      <c r="T50" s="55" t="n"/>
      <c r="U50" s="55" t="n"/>
      <c r="V50" s="55" t="n"/>
      <c r="W50" s="56">
        <f>IF(SUM(B50:V50)=0,"",SUM(B50:V50))</f>
        <v/>
      </c>
      <c r="X50" s="312">
        <f>IF(COUNTBLANK(B50:V50)=21,"",ROUND((W50/($W$13))*100,2))</f>
        <v/>
      </c>
      <c r="Y50" s="56">
        <f>RANK(X50,$X$15:$X$74,0)</f>
        <v/>
      </c>
      <c r="Z50" s="58">
        <f>IF(X50&lt;=35.99,"Least Mastered",IF(X50&lt;=74.99,"Nearly Mastered",IF(X50&lt;=90.99,"Mastered",IF(X50&lt;=100,"Highly Mastered"))))</f>
        <v/>
      </c>
    </row>
    <row r="51" ht="15.75" customHeight="1" s="1">
      <c r="A51" s="52">
        <f>A50+1</f>
        <v/>
      </c>
      <c r="B51" s="55" t="n"/>
      <c r="C51" s="55" t="n"/>
      <c r="D51" s="55" t="n"/>
      <c r="E51" s="55" t="n"/>
      <c r="F51" s="55" t="n"/>
      <c r="G51" s="55" t="n"/>
      <c r="H51" s="55" t="n"/>
      <c r="I51" s="55" t="n"/>
      <c r="J51" s="55" t="n"/>
      <c r="K51" s="55" t="n"/>
      <c r="L51" s="55" t="n"/>
      <c r="M51" s="311" t="n"/>
      <c r="N51" s="55" t="n"/>
      <c r="O51" s="55" t="n"/>
      <c r="P51" s="311" t="n"/>
      <c r="Q51" s="311" t="n"/>
      <c r="R51" s="55" t="n"/>
      <c r="S51" s="55" t="n"/>
      <c r="T51" s="55" t="n"/>
      <c r="U51" s="55" t="n"/>
      <c r="V51" s="55" t="n"/>
      <c r="W51" s="56">
        <f>IF(SUM(B51:V51)=0,"",SUM(B51:V51))</f>
        <v/>
      </c>
      <c r="X51" s="312">
        <f>IF(COUNTBLANK(B51:V51)=21,"",ROUND((W51/($W$13))*100,2))</f>
        <v/>
      </c>
      <c r="Y51" s="56">
        <f>RANK(X51,$X$15:$X$74,0)</f>
        <v/>
      </c>
      <c r="Z51" s="58">
        <f>IF(X51&lt;=35.99,"Least Mastered",IF(X51&lt;=74.99,"Nearly Mastered",IF(X51&lt;=90.99,"Mastered",IF(X51&lt;=100,"Highly Mastered"))))</f>
        <v/>
      </c>
    </row>
    <row r="52" ht="15.75" customHeight="1" s="1">
      <c r="A52" s="52">
        <f>A51+1</f>
        <v/>
      </c>
      <c r="B52" s="55" t="n"/>
      <c r="C52" s="55" t="n"/>
      <c r="D52" s="55" t="n"/>
      <c r="E52" s="55" t="n"/>
      <c r="F52" s="55" t="n"/>
      <c r="G52" s="55" t="n"/>
      <c r="H52" s="55" t="n"/>
      <c r="I52" s="55" t="n"/>
      <c r="J52" s="55" t="n"/>
      <c r="K52" s="55" t="n"/>
      <c r="L52" s="55" t="n"/>
      <c r="M52" s="311" t="n"/>
      <c r="N52" s="55" t="n"/>
      <c r="O52" s="55" t="n"/>
      <c r="P52" s="311" t="n"/>
      <c r="Q52" s="311" t="n"/>
      <c r="R52" s="55" t="n"/>
      <c r="S52" s="55" t="n"/>
      <c r="T52" s="55" t="n"/>
      <c r="U52" s="55" t="n"/>
      <c r="V52" s="55" t="n"/>
      <c r="W52" s="56">
        <f>IF(SUM(B52:V52)=0,"",SUM(B52:V52))</f>
        <v/>
      </c>
      <c r="X52" s="312">
        <f>IF(COUNTBLANK(B52:V52)=21,"",ROUND((W52/($W$13))*100,2))</f>
        <v/>
      </c>
      <c r="Y52" s="56">
        <f>RANK(X52,$X$15:$X$74,0)</f>
        <v/>
      </c>
      <c r="Z52" s="58">
        <f>IF(X52&lt;=35.99,"Least Mastered",IF(X52&lt;=74.99,"Nearly Mastered",IF(X52&lt;=90.99,"Mastered",IF(X52&lt;=100,"Highly Mastered"))))</f>
        <v/>
      </c>
    </row>
    <row r="53" ht="15.75" customHeight="1" s="1">
      <c r="A53" s="52">
        <f>A52+1</f>
        <v/>
      </c>
      <c r="B53" s="55" t="n"/>
      <c r="C53" s="55" t="n"/>
      <c r="D53" s="55" t="n"/>
      <c r="E53" s="55" t="n"/>
      <c r="F53" s="55" t="n"/>
      <c r="G53" s="55" t="n"/>
      <c r="H53" s="55" t="n"/>
      <c r="I53" s="55" t="n"/>
      <c r="J53" s="55" t="n"/>
      <c r="K53" s="55" t="n"/>
      <c r="L53" s="55" t="n"/>
      <c r="M53" s="311" t="n"/>
      <c r="N53" s="55" t="n"/>
      <c r="O53" s="55" t="n"/>
      <c r="P53" s="311" t="n"/>
      <c r="Q53" s="311" t="n"/>
      <c r="R53" s="55" t="n"/>
      <c r="S53" s="55" t="n"/>
      <c r="T53" s="55" t="n"/>
      <c r="U53" s="55" t="n"/>
      <c r="V53" s="55" t="n"/>
      <c r="W53" s="56">
        <f>IF(SUM(B53:V53)=0,"",SUM(B53:V53))</f>
        <v/>
      </c>
      <c r="X53" s="312">
        <f>IF(COUNTBLANK(B53:V53)=21,"",ROUND((W53/($W$13))*100,2))</f>
        <v/>
      </c>
      <c r="Y53" s="56">
        <f>RANK(X53,$X$15:$X$74,0)</f>
        <v/>
      </c>
      <c r="Z53" s="58">
        <f>IF(X53&lt;=35.99,"Least Mastered",IF(X53&lt;=74.99,"Nearly Mastered",IF(X53&lt;=90.99,"Mastered",IF(X53&lt;=100,"Highly Mastered"))))</f>
        <v/>
      </c>
    </row>
    <row r="54" ht="15.75" customHeight="1" s="1">
      <c r="A54" s="52">
        <f>A53+1</f>
        <v/>
      </c>
      <c r="B54" s="55" t="n"/>
      <c r="C54" s="55" t="n"/>
      <c r="D54" s="55" t="n"/>
      <c r="E54" s="55" t="n"/>
      <c r="F54" s="55" t="n"/>
      <c r="G54" s="55" t="n"/>
      <c r="H54" s="55" t="n"/>
      <c r="I54" s="55" t="n"/>
      <c r="J54" s="55" t="n"/>
      <c r="K54" s="55" t="n"/>
      <c r="L54" s="55" t="n"/>
      <c r="M54" s="311" t="n"/>
      <c r="N54" s="55" t="n"/>
      <c r="O54" s="55" t="n"/>
      <c r="P54" s="311" t="n"/>
      <c r="Q54" s="311" t="n"/>
      <c r="R54" s="55" t="n"/>
      <c r="S54" s="55" t="n"/>
      <c r="T54" s="55" t="n"/>
      <c r="U54" s="55" t="n"/>
      <c r="V54" s="55" t="n"/>
      <c r="W54" s="56">
        <f>IF(SUM(B54:V54)=0,"",SUM(B54:V54))</f>
        <v/>
      </c>
      <c r="X54" s="312">
        <f>IF(COUNTBLANK(B54:V54)=21,"",ROUND((W54/($W$13))*100,2))</f>
        <v/>
      </c>
      <c r="Y54" s="56">
        <f>RANK(X54,$X$15:$X$74,0)</f>
        <v/>
      </c>
      <c r="Z54" s="58">
        <f>IF(X54&lt;=35.99,"Least Mastered",IF(X54&lt;=74.99,"Nearly Mastered",IF(X54&lt;=90.99,"Mastered",IF(X54&lt;=100,"Highly Mastered"))))</f>
        <v/>
      </c>
    </row>
    <row r="55" ht="15.75" customHeight="1" s="1">
      <c r="A55" s="52">
        <f>A54+1</f>
        <v/>
      </c>
      <c r="B55" s="55" t="n"/>
      <c r="C55" s="55" t="n"/>
      <c r="D55" s="55" t="n"/>
      <c r="E55" s="55" t="n"/>
      <c r="F55" s="55" t="n"/>
      <c r="G55" s="55" t="n"/>
      <c r="H55" s="55" t="n"/>
      <c r="I55" s="55" t="n"/>
      <c r="J55" s="55" t="n"/>
      <c r="K55" s="55" t="n"/>
      <c r="L55" s="55" t="n"/>
      <c r="M55" s="311" t="n"/>
      <c r="N55" s="55" t="n"/>
      <c r="O55" s="55" t="n"/>
      <c r="P55" s="311" t="n"/>
      <c r="Q55" s="311" t="n"/>
      <c r="R55" s="55" t="n"/>
      <c r="S55" s="55" t="n"/>
      <c r="T55" s="55" t="n"/>
      <c r="U55" s="55" t="n"/>
      <c r="V55" s="55" t="n"/>
      <c r="W55" s="56">
        <f>IF(SUM(B55:V55)=0,"",SUM(B55:V55))</f>
        <v/>
      </c>
      <c r="X55" s="312">
        <f>IF(COUNTBLANK(B55:V55)=21,"",ROUND((W55/($W$13))*100,2))</f>
        <v/>
      </c>
      <c r="Y55" s="56">
        <f>RANK(X55,$X$15:$X$74,0)</f>
        <v/>
      </c>
      <c r="Z55" s="58">
        <f>IF(X55&lt;=35.99,"Least Mastered",IF(X55&lt;=74.99,"Nearly Mastered",IF(X55&lt;=90.99,"Mastered",IF(X55&lt;=100,"Highly Mastered"))))</f>
        <v/>
      </c>
    </row>
    <row r="56" ht="15.75" customHeight="1" s="1">
      <c r="A56" s="52">
        <f>A55+1</f>
        <v/>
      </c>
      <c r="B56" s="55" t="n"/>
      <c r="C56" s="55" t="n"/>
      <c r="D56" s="55" t="n"/>
      <c r="E56" s="55" t="n"/>
      <c r="F56" s="55" t="n"/>
      <c r="G56" s="55" t="n"/>
      <c r="H56" s="55" t="n"/>
      <c r="I56" s="55" t="n"/>
      <c r="J56" s="55" t="n"/>
      <c r="K56" s="55" t="n"/>
      <c r="L56" s="55" t="n"/>
      <c r="M56" s="311" t="n"/>
      <c r="N56" s="55" t="n"/>
      <c r="O56" s="55" t="n"/>
      <c r="P56" s="311" t="n"/>
      <c r="Q56" s="311" t="n"/>
      <c r="R56" s="55" t="n"/>
      <c r="S56" s="55" t="n"/>
      <c r="T56" s="55" t="n"/>
      <c r="U56" s="55" t="n"/>
      <c r="V56" s="55" t="n"/>
      <c r="W56" s="56">
        <f>IF(SUM(B56:V56)=0,"",SUM(B56:V56))</f>
        <v/>
      </c>
      <c r="X56" s="312">
        <f>IF(COUNTBLANK(B56:V56)=21,"",ROUND((W56/($W$13))*100,2))</f>
        <v/>
      </c>
      <c r="Y56" s="56">
        <f>RANK(X56,$X$15:$X$74,0)</f>
        <v/>
      </c>
      <c r="Z56" s="58">
        <f>IF(X56&lt;=35.99,"Least Mastered",IF(X56&lt;=74.99,"Nearly Mastered",IF(X56&lt;=90.99,"Mastered",IF(X56&lt;=100,"Highly Mastered"))))</f>
        <v/>
      </c>
    </row>
    <row r="57" ht="15.75" customHeight="1" s="1">
      <c r="A57" s="52">
        <f>A56+1</f>
        <v/>
      </c>
      <c r="B57" s="55" t="n"/>
      <c r="C57" s="55" t="n"/>
      <c r="D57" s="55" t="n"/>
      <c r="E57" s="55" t="n"/>
      <c r="F57" s="55" t="n"/>
      <c r="G57" s="55" t="n"/>
      <c r="H57" s="55" t="n"/>
      <c r="I57" s="55" t="n"/>
      <c r="J57" s="55" t="n"/>
      <c r="K57" s="55" t="n"/>
      <c r="L57" s="55" t="n"/>
      <c r="M57" s="311" t="n"/>
      <c r="N57" s="55" t="n"/>
      <c r="O57" s="55" t="n"/>
      <c r="P57" s="311" t="n"/>
      <c r="Q57" s="311" t="n"/>
      <c r="R57" s="55" t="n"/>
      <c r="S57" s="55" t="n"/>
      <c r="T57" s="55" t="n"/>
      <c r="U57" s="55" t="n"/>
      <c r="V57" s="55" t="n"/>
      <c r="W57" s="56">
        <f>IF(SUM(B57:V57)=0,"",SUM(B57:V57))</f>
        <v/>
      </c>
      <c r="X57" s="312">
        <f>IF(COUNTBLANK(B57:V57)=21,"",ROUND((W57/($W$13))*100,2))</f>
        <v/>
      </c>
      <c r="Y57" s="56">
        <f>RANK(X57,$X$15:$X$74,0)</f>
        <v/>
      </c>
      <c r="Z57" s="58">
        <f>IF(X57&lt;=35.99,"Least Mastered",IF(X57&lt;=74.99,"Nearly Mastered",IF(X57&lt;=90.99,"Mastered",IF(X57&lt;=100,"Highly Mastered"))))</f>
        <v/>
      </c>
    </row>
    <row r="58" ht="15.75" customHeight="1" s="1">
      <c r="A58" s="52">
        <f>A57+1</f>
        <v/>
      </c>
      <c r="B58" s="55" t="n"/>
      <c r="C58" s="55" t="n"/>
      <c r="D58" s="55" t="n"/>
      <c r="E58" s="55" t="n"/>
      <c r="F58" s="55" t="n"/>
      <c r="G58" s="55" t="n"/>
      <c r="H58" s="55" t="n"/>
      <c r="I58" s="55" t="n"/>
      <c r="J58" s="55" t="n"/>
      <c r="K58" s="55" t="n"/>
      <c r="L58" s="55" t="n"/>
      <c r="M58" s="311" t="n"/>
      <c r="N58" s="55" t="n"/>
      <c r="O58" s="55" t="n"/>
      <c r="P58" s="311" t="n"/>
      <c r="Q58" s="311" t="n"/>
      <c r="R58" s="55" t="n"/>
      <c r="S58" s="55" t="n"/>
      <c r="T58" s="55" t="n"/>
      <c r="U58" s="55" t="n"/>
      <c r="V58" s="55" t="n"/>
      <c r="W58" s="56">
        <f>IF(SUM(B58:V58)=0,"",SUM(B58:V58))</f>
        <v/>
      </c>
      <c r="X58" s="312">
        <f>IF(COUNTBLANK(B58:V58)=21,"",ROUND((W58/($W$13))*100,2))</f>
        <v/>
      </c>
      <c r="Y58" s="56">
        <f>RANK(X58,$X$15:$X$74,0)</f>
        <v/>
      </c>
      <c r="Z58" s="58">
        <f>IF(X58&lt;=35.99,"Least Mastered",IF(X58&lt;=74.99,"Nearly Mastered",IF(X58&lt;=90.99,"Mastered",IF(X58&lt;=100,"Highly Mastered"))))</f>
        <v/>
      </c>
    </row>
    <row r="59" ht="15.75" customHeight="1" s="1">
      <c r="A59" s="52">
        <f>A58+1</f>
        <v/>
      </c>
      <c r="B59" s="55" t="n"/>
      <c r="C59" s="55" t="n"/>
      <c r="D59" s="55" t="n"/>
      <c r="E59" s="55" t="n"/>
      <c r="F59" s="55" t="n"/>
      <c r="G59" s="55" t="n"/>
      <c r="H59" s="55" t="n"/>
      <c r="I59" s="55" t="n"/>
      <c r="J59" s="55" t="n"/>
      <c r="K59" s="55" t="n"/>
      <c r="L59" s="55" t="n"/>
      <c r="M59" s="311" t="n"/>
      <c r="N59" s="55" t="n"/>
      <c r="O59" s="55" t="n"/>
      <c r="P59" s="311" t="n"/>
      <c r="Q59" s="311" t="n"/>
      <c r="R59" s="55" t="n"/>
      <c r="S59" s="55" t="n"/>
      <c r="T59" s="55" t="n"/>
      <c r="U59" s="55" t="n"/>
      <c r="V59" s="55" t="n"/>
      <c r="W59" s="56">
        <f>IF(SUM(B59:V59)=0,"",SUM(B59:V59))</f>
        <v/>
      </c>
      <c r="X59" s="312">
        <f>IF(COUNTBLANK(B59:V59)=21,"",ROUND((W59/($W$13))*100,2))</f>
        <v/>
      </c>
      <c r="Y59" s="56">
        <f>RANK(X59,$X$15:$X$74,0)</f>
        <v/>
      </c>
      <c r="Z59" s="58">
        <f>IF(X59&lt;=35.99,"Least Mastered",IF(X59&lt;=74.99,"Nearly Mastered",IF(X59&lt;=90.99,"Mastered",IF(X59&lt;=100,"Highly Mastered"))))</f>
        <v/>
      </c>
    </row>
    <row r="60" ht="15.75" customHeight="1" s="1">
      <c r="A60" s="52">
        <f>A59+1</f>
        <v/>
      </c>
      <c r="B60" s="55" t="n"/>
      <c r="C60" s="55" t="n"/>
      <c r="D60" s="55" t="n"/>
      <c r="E60" s="55" t="n"/>
      <c r="F60" s="55" t="n"/>
      <c r="G60" s="55" t="n"/>
      <c r="H60" s="55" t="n"/>
      <c r="I60" s="55" t="n"/>
      <c r="J60" s="55" t="n"/>
      <c r="K60" s="55" t="n"/>
      <c r="L60" s="55" t="n"/>
      <c r="M60" s="311" t="n"/>
      <c r="N60" s="55" t="n"/>
      <c r="O60" s="55" t="n"/>
      <c r="P60" s="311" t="n"/>
      <c r="Q60" s="311" t="n"/>
      <c r="R60" s="55" t="n"/>
      <c r="S60" s="55" t="n"/>
      <c r="T60" s="55" t="n"/>
      <c r="U60" s="55" t="n"/>
      <c r="V60" s="55" t="n"/>
      <c r="W60" s="56">
        <f>IF(SUM(B60:V60)=0,"",SUM(B60:V60))</f>
        <v/>
      </c>
      <c r="X60" s="312">
        <f>IF(COUNTBLANK(B60:V60)=21,"",ROUND((W60/($W$13))*100,2))</f>
        <v/>
      </c>
      <c r="Y60" s="56">
        <f>RANK(X60,$X$15:$X$74,0)</f>
        <v/>
      </c>
      <c r="Z60" s="58">
        <f>IF(X60&lt;=35.99,"Least Mastered",IF(X60&lt;=74.99,"Nearly Mastered",IF(X60&lt;=90.99,"Mastered",IF(X60&lt;=100,"Highly Mastered"))))</f>
        <v/>
      </c>
    </row>
    <row r="61" ht="15.75" customHeight="1" s="1">
      <c r="A61" s="52">
        <f>A60+1</f>
        <v/>
      </c>
      <c r="B61" s="55" t="n"/>
      <c r="C61" s="55" t="n"/>
      <c r="D61" s="55" t="n"/>
      <c r="E61" s="55" t="n"/>
      <c r="F61" s="55" t="n"/>
      <c r="G61" s="55" t="n"/>
      <c r="H61" s="55" t="n"/>
      <c r="I61" s="55" t="n"/>
      <c r="J61" s="55" t="n"/>
      <c r="K61" s="55" t="n"/>
      <c r="L61" s="55" t="n"/>
      <c r="M61" s="311" t="n"/>
      <c r="N61" s="55" t="n"/>
      <c r="O61" s="55" t="n"/>
      <c r="P61" s="311" t="n"/>
      <c r="Q61" s="311" t="n"/>
      <c r="R61" s="55" t="n"/>
      <c r="S61" s="55" t="n"/>
      <c r="T61" s="55" t="n"/>
      <c r="U61" s="55" t="n"/>
      <c r="V61" s="55" t="n"/>
      <c r="W61" s="56">
        <f>IF(SUM(B61:V61)=0,"",SUM(B61:V61))</f>
        <v/>
      </c>
      <c r="X61" s="312">
        <f>IF(COUNTBLANK(B61:V61)=21,"",ROUND((W61/($W$13))*100,2))</f>
        <v/>
      </c>
      <c r="Y61" s="56">
        <f>RANK(X61,$X$15:$X$74,0)</f>
        <v/>
      </c>
      <c r="Z61" s="58">
        <f>IF(X61&lt;=35.99,"Least Mastered",IF(X61&lt;=74.99,"Nearly Mastered",IF(X61&lt;=90.99,"Mastered",IF(X61&lt;=100,"Highly Mastered"))))</f>
        <v/>
      </c>
    </row>
    <row r="62" ht="15.75" customHeight="1" s="1">
      <c r="A62" s="52">
        <f>A61+1</f>
        <v/>
      </c>
      <c r="B62" s="55" t="n"/>
      <c r="C62" s="55" t="n"/>
      <c r="D62" s="55" t="n"/>
      <c r="E62" s="55" t="n"/>
      <c r="F62" s="55" t="n"/>
      <c r="G62" s="55" t="n"/>
      <c r="H62" s="55" t="n"/>
      <c r="I62" s="55" t="n"/>
      <c r="J62" s="55" t="n"/>
      <c r="K62" s="55" t="n"/>
      <c r="L62" s="55" t="n"/>
      <c r="M62" s="311" t="n"/>
      <c r="N62" s="55" t="n"/>
      <c r="O62" s="55" t="n"/>
      <c r="P62" s="311" t="n"/>
      <c r="Q62" s="311" t="n"/>
      <c r="R62" s="55" t="n"/>
      <c r="S62" s="55" t="n"/>
      <c r="T62" s="55" t="n"/>
      <c r="U62" s="55" t="n"/>
      <c r="V62" s="55" t="n"/>
      <c r="W62" s="56">
        <f>IF(SUM(B62:V62)=0,"",SUM(B62:V62))</f>
        <v/>
      </c>
      <c r="X62" s="312">
        <f>IF(COUNTBLANK(B62:V62)=21,"",ROUND((W62/($W$13))*100,2))</f>
        <v/>
      </c>
      <c r="Y62" s="56">
        <f>RANK(X62,$X$15:$X$74,0)</f>
        <v/>
      </c>
      <c r="Z62" s="58">
        <f>IF(X62&lt;=35.99,"Least Mastered",IF(X62&lt;=74.99,"Nearly Mastered",IF(X62&lt;=90.99,"Mastered",IF(X62&lt;=100,"Highly Mastered"))))</f>
        <v/>
      </c>
    </row>
    <row r="63" ht="15.75" customHeight="1" s="1">
      <c r="A63" s="52">
        <f>A62+1</f>
        <v/>
      </c>
      <c r="B63" s="55" t="n"/>
      <c r="C63" s="55" t="n"/>
      <c r="D63" s="55" t="n"/>
      <c r="E63" s="55" t="n"/>
      <c r="F63" s="55" t="n"/>
      <c r="G63" s="55" t="n"/>
      <c r="H63" s="55" t="n"/>
      <c r="I63" s="55" t="n"/>
      <c r="J63" s="55" t="n"/>
      <c r="K63" s="55" t="n"/>
      <c r="L63" s="55" t="n"/>
      <c r="M63" s="311" t="n"/>
      <c r="N63" s="55" t="n"/>
      <c r="O63" s="55" t="n"/>
      <c r="P63" s="311" t="n"/>
      <c r="Q63" s="311" t="n"/>
      <c r="R63" s="55" t="n"/>
      <c r="S63" s="55" t="n"/>
      <c r="T63" s="55" t="n"/>
      <c r="U63" s="55" t="n"/>
      <c r="V63" s="55" t="n"/>
      <c r="W63" s="56">
        <f>IF(SUM(B63:V63)=0,"",SUM(B63:V63))</f>
        <v/>
      </c>
      <c r="X63" s="312">
        <f>IF(COUNTBLANK(B63:V63)=21,"",ROUND((W63/($W$13))*100,2))</f>
        <v/>
      </c>
      <c r="Y63" s="56">
        <f>RANK(X63,$X$15:$X$74,0)</f>
        <v/>
      </c>
      <c r="Z63" s="58">
        <f>IF(X63&lt;=35.99,"Least Mastered",IF(X63&lt;=74.99,"Nearly Mastered",IF(X63&lt;=90.99,"Mastered",IF(X63&lt;=100,"Highly Mastered"))))</f>
        <v/>
      </c>
    </row>
    <row r="64" ht="15.75" customHeight="1" s="1">
      <c r="A64" s="52">
        <f>A63+1</f>
        <v/>
      </c>
      <c r="B64" s="55" t="n"/>
      <c r="C64" s="55" t="n"/>
      <c r="D64" s="55" t="n"/>
      <c r="E64" s="55" t="n"/>
      <c r="F64" s="55" t="n"/>
      <c r="G64" s="55" t="n"/>
      <c r="H64" s="55" t="n"/>
      <c r="I64" s="55" t="n"/>
      <c r="J64" s="55" t="n"/>
      <c r="K64" s="55" t="n"/>
      <c r="L64" s="55" t="n"/>
      <c r="M64" s="311" t="n"/>
      <c r="N64" s="55" t="n"/>
      <c r="O64" s="55" t="n"/>
      <c r="P64" s="311" t="n"/>
      <c r="Q64" s="311" t="n"/>
      <c r="R64" s="55" t="n"/>
      <c r="S64" s="55" t="n"/>
      <c r="T64" s="55" t="n"/>
      <c r="U64" s="55" t="n"/>
      <c r="V64" s="55" t="n"/>
      <c r="W64" s="56">
        <f>IF(SUM(B64:V64)=0,"",SUM(B64:V64))</f>
        <v/>
      </c>
      <c r="X64" s="312">
        <f>IF(COUNTBLANK(B64:V64)=21,"",ROUND((W64/($W$13))*100,2))</f>
        <v/>
      </c>
      <c r="Y64" s="56">
        <f>RANK(X64,$X$15:$X$74,0)</f>
        <v/>
      </c>
      <c r="Z64" s="58">
        <f>IF(X64&lt;=35.99,"Least Mastered",IF(X64&lt;=74.99,"Nearly Mastered",IF(X64&lt;=90.99,"Mastered",IF(X64&lt;=100,"Highly Mastered"))))</f>
        <v/>
      </c>
    </row>
    <row r="65" ht="15.75" customHeight="1" s="1">
      <c r="A65" s="52">
        <f>A64+1</f>
        <v/>
      </c>
      <c r="B65" s="55" t="n"/>
      <c r="C65" s="55" t="n"/>
      <c r="D65" s="55" t="n"/>
      <c r="E65" s="55" t="n"/>
      <c r="F65" s="55" t="n"/>
      <c r="G65" s="55" t="n"/>
      <c r="H65" s="55" t="n"/>
      <c r="I65" s="55" t="n"/>
      <c r="J65" s="55" t="n"/>
      <c r="K65" s="55" t="n"/>
      <c r="L65" s="55" t="n"/>
      <c r="M65" s="311" t="n"/>
      <c r="N65" s="55" t="n"/>
      <c r="O65" s="55" t="n"/>
      <c r="P65" s="311" t="n"/>
      <c r="Q65" s="311" t="n"/>
      <c r="R65" s="55" t="n"/>
      <c r="S65" s="55" t="n"/>
      <c r="T65" s="55" t="n"/>
      <c r="U65" s="55" t="n"/>
      <c r="V65" s="55" t="n"/>
      <c r="W65" s="56">
        <f>IF(SUM(B65:V65)=0,"",SUM(B65:V65))</f>
        <v/>
      </c>
      <c r="X65" s="312">
        <f>IF(COUNTBLANK(B65:V65)=21,"",ROUND((W65/($W$13))*100,2))</f>
        <v/>
      </c>
      <c r="Y65" s="56">
        <f>RANK(X65,$X$15:$X$74,0)</f>
        <v/>
      </c>
      <c r="Z65" s="58">
        <f>IF(X65&lt;=35.99,"Least Mastered",IF(X65&lt;=74.99,"Nearly Mastered",IF(X65&lt;=90.99,"Mastered",IF(X65&lt;=100,"Highly Mastered"))))</f>
        <v/>
      </c>
    </row>
    <row r="66" ht="15.75" customHeight="1" s="1">
      <c r="A66" s="52">
        <f>A65+1</f>
        <v/>
      </c>
      <c r="B66" s="55" t="n"/>
      <c r="C66" s="55" t="n"/>
      <c r="D66" s="55" t="n"/>
      <c r="E66" s="55" t="n"/>
      <c r="F66" s="55" t="n"/>
      <c r="G66" s="55" t="n"/>
      <c r="H66" s="55" t="n"/>
      <c r="I66" s="55" t="n"/>
      <c r="J66" s="55" t="n"/>
      <c r="K66" s="55" t="n"/>
      <c r="L66" s="55" t="n"/>
      <c r="M66" s="311" t="n"/>
      <c r="N66" s="55" t="n"/>
      <c r="O66" s="55" t="n"/>
      <c r="P66" s="311" t="n"/>
      <c r="Q66" s="311" t="n"/>
      <c r="R66" s="55" t="n"/>
      <c r="S66" s="55" t="n"/>
      <c r="T66" s="55" t="n"/>
      <c r="U66" s="55" t="n"/>
      <c r="V66" s="55" t="n"/>
      <c r="W66" s="56">
        <f>IF(SUM(B66:V66)=0,"",SUM(B66:V66))</f>
        <v/>
      </c>
      <c r="X66" s="312">
        <f>IF(COUNTBLANK(B66:V66)=21,"",ROUND((W66/($W$13))*100,2))</f>
        <v/>
      </c>
      <c r="Y66" s="56">
        <f>RANK(X66,$X$15:$X$74,0)</f>
        <v/>
      </c>
      <c r="Z66" s="58">
        <f>IF(X66&lt;=35.99,"Least Mastered",IF(X66&lt;=74.99,"Nearly Mastered",IF(X66&lt;=90.99,"Mastered",IF(X66&lt;=100,"Highly Mastered"))))</f>
        <v/>
      </c>
    </row>
    <row r="67" ht="15.75" customHeight="1" s="1">
      <c r="A67" s="52">
        <f>A66+1</f>
        <v/>
      </c>
      <c r="B67" s="55" t="n"/>
      <c r="C67" s="55" t="n"/>
      <c r="D67" s="55" t="n"/>
      <c r="E67" s="55" t="n"/>
      <c r="F67" s="55" t="n"/>
      <c r="G67" s="55" t="n"/>
      <c r="H67" s="55" t="n"/>
      <c r="I67" s="55" t="n"/>
      <c r="J67" s="55" t="n"/>
      <c r="K67" s="55" t="n"/>
      <c r="L67" s="55" t="n"/>
      <c r="M67" s="311" t="n"/>
      <c r="N67" s="55" t="n"/>
      <c r="O67" s="55" t="n"/>
      <c r="P67" s="311" t="n"/>
      <c r="Q67" s="311" t="n"/>
      <c r="R67" s="55" t="n"/>
      <c r="S67" s="55" t="n"/>
      <c r="T67" s="55" t="n"/>
      <c r="U67" s="55" t="n"/>
      <c r="V67" s="55" t="n"/>
      <c r="W67" s="56">
        <f>IF(SUM(B67:V67)=0,"",SUM(B67:V67))</f>
        <v/>
      </c>
      <c r="X67" s="312">
        <f>IF(COUNTBLANK(B67:V67)=21,"",ROUND((W67/($W$13))*100,2))</f>
        <v/>
      </c>
      <c r="Y67" s="56">
        <f>RANK(X67,$X$15:$X$74,0)</f>
        <v/>
      </c>
      <c r="Z67" s="58">
        <f>IF(X67&lt;=35.99,"Least Mastered",IF(X67&lt;=74.99,"Nearly Mastered",IF(X67&lt;=90.99,"Mastered",IF(X67&lt;=100,"Highly Mastered"))))</f>
        <v/>
      </c>
    </row>
    <row r="68" ht="15.75" customHeight="1" s="1">
      <c r="A68" s="52">
        <f>A67+1</f>
        <v/>
      </c>
      <c r="B68" s="55" t="n"/>
      <c r="C68" s="55" t="n"/>
      <c r="D68" s="55" t="n"/>
      <c r="E68" s="55" t="n"/>
      <c r="F68" s="55" t="n"/>
      <c r="G68" s="55" t="n"/>
      <c r="H68" s="55" t="n"/>
      <c r="I68" s="55" t="n"/>
      <c r="J68" s="55" t="n"/>
      <c r="K68" s="55" t="n"/>
      <c r="L68" s="55" t="n"/>
      <c r="M68" s="311" t="n"/>
      <c r="N68" s="55" t="n"/>
      <c r="O68" s="55" t="n"/>
      <c r="P68" s="311" t="n"/>
      <c r="Q68" s="311" t="n"/>
      <c r="R68" s="55" t="n"/>
      <c r="S68" s="55" t="n"/>
      <c r="T68" s="55" t="n"/>
      <c r="U68" s="55" t="n"/>
      <c r="V68" s="55" t="n"/>
      <c r="W68" s="56">
        <f>IF(SUM(B68:V68)=0,"",SUM(B68:V68))</f>
        <v/>
      </c>
      <c r="X68" s="312">
        <f>IF(COUNTBLANK(B68:V68)=21,"",ROUND((W68/($W$13))*100,2))</f>
        <v/>
      </c>
      <c r="Y68" s="56">
        <f>RANK(X68,$X$15:$X$74,0)</f>
        <v/>
      </c>
      <c r="Z68" s="58">
        <f>IF(X68&lt;=35.99,"Least Mastered",IF(X68&lt;=74.99,"Nearly Mastered",IF(X68&lt;=90.99,"Mastered",IF(X68&lt;=100,"Highly Mastered"))))</f>
        <v/>
      </c>
    </row>
    <row r="69" ht="15.75" customHeight="1" s="1">
      <c r="A69" s="52">
        <f>A68+1</f>
        <v/>
      </c>
      <c r="B69" s="55" t="n"/>
      <c r="C69" s="55" t="n"/>
      <c r="D69" s="55" t="n"/>
      <c r="E69" s="55" t="n"/>
      <c r="F69" s="55" t="n"/>
      <c r="G69" s="55" t="n"/>
      <c r="H69" s="55" t="n"/>
      <c r="I69" s="55" t="n"/>
      <c r="J69" s="55" t="n"/>
      <c r="K69" s="55" t="n"/>
      <c r="L69" s="55" t="n"/>
      <c r="M69" s="311" t="n"/>
      <c r="N69" s="55" t="n"/>
      <c r="O69" s="55" t="n"/>
      <c r="P69" s="311" t="n"/>
      <c r="Q69" s="311" t="n"/>
      <c r="R69" s="55" t="n"/>
      <c r="S69" s="55" t="n"/>
      <c r="T69" s="55" t="n"/>
      <c r="U69" s="55" t="n"/>
      <c r="V69" s="55" t="n"/>
      <c r="W69" s="56">
        <f>IF(SUM(B69:V69)=0,"",SUM(B69:V69))</f>
        <v/>
      </c>
      <c r="X69" s="312">
        <f>IF(COUNTBLANK(B69:V69)=21,"",ROUND((W69/($W$13))*100,2))</f>
        <v/>
      </c>
      <c r="Y69" s="56">
        <f>RANK(X69,$X$15:$X$74,0)</f>
        <v/>
      </c>
      <c r="Z69" s="58">
        <f>IF(X69&lt;=35.99,"Least Mastered",IF(X69&lt;=74.99,"Nearly Mastered",IF(X69&lt;=90.99,"Mastered",IF(X69&lt;=100,"Highly Mastered"))))</f>
        <v/>
      </c>
    </row>
    <row r="70" ht="15.75" customHeight="1" s="1">
      <c r="A70" s="52">
        <f>A69+1</f>
        <v/>
      </c>
      <c r="B70" s="55" t="n"/>
      <c r="C70" s="55" t="n"/>
      <c r="D70" s="55" t="n"/>
      <c r="E70" s="55" t="n"/>
      <c r="F70" s="55" t="n"/>
      <c r="G70" s="55" t="n"/>
      <c r="H70" s="55" t="n"/>
      <c r="I70" s="55" t="n"/>
      <c r="J70" s="55" t="n"/>
      <c r="K70" s="55" t="n"/>
      <c r="L70" s="55" t="n"/>
      <c r="M70" s="311" t="n"/>
      <c r="N70" s="55" t="n"/>
      <c r="O70" s="55" t="n"/>
      <c r="P70" s="311" t="n"/>
      <c r="Q70" s="311" t="n"/>
      <c r="R70" s="55" t="n"/>
      <c r="S70" s="55" t="n"/>
      <c r="T70" s="55" t="n"/>
      <c r="U70" s="55" t="n"/>
      <c r="V70" s="55" t="n"/>
      <c r="W70" s="56">
        <f>IF(SUM(B70:V70)=0,"",SUM(B70:V70))</f>
        <v/>
      </c>
      <c r="X70" s="312">
        <f>IF(COUNTBLANK(B70:V70)=21,"",ROUND((W70/($W$13))*100,2))</f>
        <v/>
      </c>
      <c r="Y70" s="56">
        <f>RANK(X70,$X$15:$X$74,0)</f>
        <v/>
      </c>
      <c r="Z70" s="58">
        <f>IF(X70&lt;=35.99,"Least Mastered",IF(X70&lt;=74.99,"Nearly Mastered",IF(X70&lt;=90.99,"Mastered",IF(X70&lt;=100,"Highly Mastered"))))</f>
        <v/>
      </c>
    </row>
    <row r="71" ht="15.75" customHeight="1" s="1">
      <c r="A71" s="52">
        <f>A70+1</f>
        <v/>
      </c>
      <c r="B71" s="55" t="n"/>
      <c r="C71" s="55" t="n"/>
      <c r="D71" s="55" t="n"/>
      <c r="E71" s="55" t="n"/>
      <c r="F71" s="55" t="n"/>
      <c r="G71" s="55" t="n"/>
      <c r="H71" s="55" t="n"/>
      <c r="I71" s="55" t="n"/>
      <c r="J71" s="55" t="n"/>
      <c r="K71" s="55" t="n"/>
      <c r="L71" s="55" t="n"/>
      <c r="M71" s="311" t="n"/>
      <c r="N71" s="55" t="n"/>
      <c r="O71" s="55" t="n"/>
      <c r="P71" s="311" t="n"/>
      <c r="Q71" s="311" t="n"/>
      <c r="R71" s="55" t="n"/>
      <c r="S71" s="55" t="n"/>
      <c r="T71" s="55" t="n"/>
      <c r="U71" s="55" t="n"/>
      <c r="V71" s="55" t="n"/>
      <c r="W71" s="56">
        <f>IF(SUM(B71:V71)=0,"",SUM(B71:V71))</f>
        <v/>
      </c>
      <c r="X71" s="312">
        <f>IF(COUNTBLANK(B71:V71)=21,"",ROUND((W71/($W$13))*100,2))</f>
        <v/>
      </c>
      <c r="Y71" s="56">
        <f>RANK(X71,$X$15:$X$74,0)</f>
        <v/>
      </c>
      <c r="Z71" s="58">
        <f>IF(X71&lt;=35.99,"Least Mastered",IF(X71&lt;=74.99,"Nearly Mastered",IF(X71&lt;=90.99,"Mastered",IF(X71&lt;=100,"Highly Mastered"))))</f>
        <v/>
      </c>
    </row>
    <row r="72" ht="15.75" customHeight="1" s="1">
      <c r="A72" s="52">
        <f>A71+1</f>
        <v/>
      </c>
      <c r="B72" s="55" t="n"/>
      <c r="C72" s="55" t="n"/>
      <c r="D72" s="55" t="n"/>
      <c r="E72" s="55" t="n"/>
      <c r="F72" s="55" t="n"/>
      <c r="G72" s="55" t="n"/>
      <c r="H72" s="55" t="n"/>
      <c r="I72" s="55" t="n"/>
      <c r="J72" s="55" t="n"/>
      <c r="K72" s="55" t="n"/>
      <c r="L72" s="55" t="n"/>
      <c r="M72" s="311" t="n"/>
      <c r="N72" s="55" t="n"/>
      <c r="O72" s="55" t="n"/>
      <c r="P72" s="311" t="n"/>
      <c r="Q72" s="311" t="n"/>
      <c r="R72" s="55" t="n"/>
      <c r="S72" s="55" t="n"/>
      <c r="T72" s="55" t="n"/>
      <c r="U72" s="55" t="n"/>
      <c r="V72" s="55" t="n"/>
      <c r="W72" s="56">
        <f>IF(SUM(B72:V72)=0,"",SUM(B72:V72))</f>
        <v/>
      </c>
      <c r="X72" s="312">
        <f>IF(COUNTBLANK(B72:V72)=21,"",ROUND((W72/($W$13))*100,2))</f>
        <v/>
      </c>
      <c r="Y72" s="56">
        <f>RANK(X72,$X$15:$X$74,0)</f>
        <v/>
      </c>
      <c r="Z72" s="58">
        <f>IF(X72&lt;=35.99,"Least Mastered",IF(X72&lt;=74.99,"Nearly Mastered",IF(X72&lt;=90.99,"Mastered",IF(X72&lt;=100,"Highly Mastered"))))</f>
        <v/>
      </c>
    </row>
    <row r="73" ht="15.75" customHeight="1" s="1">
      <c r="A73" s="52">
        <f>A72+1</f>
        <v/>
      </c>
      <c r="B73" s="55" t="n"/>
      <c r="C73" s="55" t="n"/>
      <c r="D73" s="55" t="n"/>
      <c r="E73" s="55" t="n"/>
      <c r="F73" s="55" t="n"/>
      <c r="G73" s="55" t="n"/>
      <c r="H73" s="55" t="n"/>
      <c r="I73" s="55" t="n"/>
      <c r="J73" s="55" t="n"/>
      <c r="K73" s="55" t="n"/>
      <c r="L73" s="55" t="n"/>
      <c r="M73" s="311" t="n"/>
      <c r="N73" s="55" t="n"/>
      <c r="O73" s="55" t="n"/>
      <c r="P73" s="311" t="n"/>
      <c r="Q73" s="311" t="n"/>
      <c r="R73" s="55" t="n"/>
      <c r="S73" s="55" t="n"/>
      <c r="T73" s="55" t="n"/>
      <c r="U73" s="55" t="n"/>
      <c r="V73" s="55" t="n"/>
      <c r="W73" s="56">
        <f>IF(SUM(B73:V73)=0,"",SUM(B73:V73))</f>
        <v/>
      </c>
      <c r="X73" s="312">
        <f>IF(COUNTBLANK(B73:V73)=21,"",ROUND((W73/($W$13))*100,2))</f>
        <v/>
      </c>
      <c r="Y73" s="56">
        <f>RANK(X73,$X$15:$X$74,0)</f>
        <v/>
      </c>
      <c r="Z73" s="58">
        <f>IF(X73&lt;=35.99,"Least Mastered",IF(X73&lt;=74.99,"Nearly Mastered",IF(X73&lt;=90.99,"Mastered",IF(X73&lt;=100,"Highly Mastered"))))</f>
        <v/>
      </c>
    </row>
    <row r="74" ht="15.75" customHeight="1" s="1">
      <c r="A74" s="52">
        <f>A73+1</f>
        <v/>
      </c>
      <c r="B74" s="55" t="n"/>
      <c r="C74" s="55" t="n"/>
      <c r="D74" s="55" t="n"/>
      <c r="E74" s="55" t="n"/>
      <c r="F74" s="55" t="n"/>
      <c r="G74" s="55" t="n"/>
      <c r="H74" s="55" t="n"/>
      <c r="I74" s="55" t="n"/>
      <c r="J74" s="55" t="n"/>
      <c r="K74" s="55" t="n"/>
      <c r="L74" s="55" t="n"/>
      <c r="M74" s="311" t="n"/>
      <c r="N74" s="55" t="n"/>
      <c r="O74" s="55" t="n"/>
      <c r="P74" s="311" t="n"/>
      <c r="Q74" s="311" t="n"/>
      <c r="R74" s="55" t="n"/>
      <c r="S74" s="55" t="n"/>
      <c r="T74" s="55" t="n"/>
      <c r="U74" s="55" t="n"/>
      <c r="V74" s="55" t="n"/>
      <c r="W74" s="56">
        <f>IF(SUM(B74:V74)=0,"",SUM(B74:V74))</f>
        <v/>
      </c>
      <c r="X74" s="313">
        <f>IF(COUNTBLANK(B74:V74)=21,"",ROUND((W74/($W$13))*100,2))</f>
        <v/>
      </c>
      <c r="Y74" s="61">
        <f>RANK(X74,$X$15:$X$74,0)</f>
        <v/>
      </c>
      <c r="Z74" s="58">
        <f>IF(X74&lt;=35.99,"Least Mastered",IF(X74&lt;=74.99,"Nearly Mastered",IF(X74&lt;=90.99,"Mastered",IF(X74&lt;=100,"Highly Mastered"))))</f>
        <v/>
      </c>
    </row>
    <row r="75" ht="15.75" customHeight="1" s="1">
      <c r="A75" s="314" t="inlineStr">
        <is>
          <t>MEAN</t>
        </is>
      </c>
      <c r="B75" s="315">
        <f>IFERROR((SUM(B15:B74)/B13),"")</f>
        <v/>
      </c>
      <c r="C75" s="315">
        <f>IFERROR((SUM(C15:C74)/C13),"")</f>
        <v/>
      </c>
      <c r="D75" s="316">
        <f>IFERROR((SUM(D15:D74)/D13),"")</f>
        <v/>
      </c>
      <c r="E75" s="315">
        <f>IFERROR((SUM(E15:E74)/E13),"")</f>
        <v/>
      </c>
      <c r="F75" s="315">
        <f>IFERROR((SUM(F15:F74)/F13),"")</f>
        <v/>
      </c>
      <c r="G75" s="315">
        <f>IFERROR((SUM(G15:G74)/G13),"")</f>
        <v/>
      </c>
      <c r="H75" s="315">
        <f>IFERROR((SUM(H15:H74)/H13),"")</f>
        <v/>
      </c>
      <c r="I75" s="315">
        <f>IFERROR((SUM(I15:I74)/I13),"")</f>
        <v/>
      </c>
      <c r="J75" s="315">
        <f>IFERROR((SUM(J15:J74)/J13),"")</f>
        <v/>
      </c>
      <c r="K75" s="315">
        <f>IFERROR((SUM(K15:K74)/K13),"")</f>
        <v/>
      </c>
      <c r="L75" s="315">
        <f>IFERROR((SUM(L15:L74)/L13),"")</f>
        <v/>
      </c>
      <c r="M75" s="315">
        <f>IFERROR((SUM(M15:M74)/M13),"")</f>
        <v/>
      </c>
      <c r="N75" s="315">
        <f>IFERROR((SUM(N15:N74)/N13),"")</f>
        <v/>
      </c>
      <c r="O75" s="315">
        <f>IFERROR((SUM(O15:O74)/O13),"")</f>
        <v/>
      </c>
      <c r="P75" s="315">
        <f>IFERROR((SUM(P15:P74)/P13),"")</f>
        <v/>
      </c>
      <c r="Q75" s="315">
        <f>IFERROR((SUM(Q15:Q74)/Q13),"")</f>
        <v/>
      </c>
      <c r="R75" s="315">
        <f>IFERROR((SUM(R15:R74)/R13),"")</f>
        <v/>
      </c>
      <c r="S75" s="315">
        <f>IFERROR((SUM(S15:S74)/S13),"")</f>
        <v/>
      </c>
      <c r="T75" s="315">
        <f>IFERROR((SUM(T15:T74)/T13),"")</f>
        <v/>
      </c>
      <c r="U75" s="315">
        <f>IFERROR((SUM(U15:U74)/U13),"")</f>
        <v/>
      </c>
      <c r="V75" s="315">
        <f>IFERROR((SUM(V15:V74)/V13),"")</f>
        <v/>
      </c>
      <c r="W75" s="315">
        <f>IFERROR((SUM(W15:W74)/W13),"")</f>
        <v/>
      </c>
      <c r="X75" s="317">
        <f>IF(W76&lt;=35.99,"Least Mastered",IF(W76&lt;=74.99,"Nearly Mastered",IF(W76&lt;=90.99,"Mastered",IF(W76&lt;=100,"Highly Mastered"))))</f>
        <v/>
      </c>
      <c r="Y75" s="415" t="n"/>
      <c r="Z75" s="415" t="n"/>
    </row>
    <row r="76" ht="21" customHeight="1" s="1">
      <c r="A76" s="318" t="inlineStr">
        <is>
          <t>MPS</t>
        </is>
      </c>
      <c r="B76" s="64">
        <f>IFERROR(ROUND((B75/$B$7)*100,2),"")</f>
        <v/>
      </c>
      <c r="C76" s="64">
        <f>IFERROR(ROUND((C75/$B$7)*100,2),"")</f>
        <v/>
      </c>
      <c r="D76" s="319">
        <f>IFERROR(ROUND((D75/$B$7)*100,2),"")</f>
        <v/>
      </c>
      <c r="E76" s="64">
        <f>IFERROR(ROUND((E75/$B$7)*100,2),"")</f>
        <v/>
      </c>
      <c r="F76" s="64">
        <f>IFERROR(ROUND((F75/$B$7)*100,2),"")</f>
        <v/>
      </c>
      <c r="G76" s="64">
        <f>IFERROR(ROUND((G75/$B$7)*100,2),"")</f>
        <v/>
      </c>
      <c r="H76" s="64">
        <f>IFERROR(ROUND((H75/$B$7)*100,2),"")</f>
        <v/>
      </c>
      <c r="I76" s="64">
        <f>IFERROR(ROUND((I75/$B$7)*100,2),"")</f>
        <v/>
      </c>
      <c r="J76" s="64">
        <f>IFERROR(ROUND((J75/$B$7)*100,2),"")</f>
        <v/>
      </c>
      <c r="K76" s="64">
        <f>IFERROR(ROUND((K75/$B$7)*100,2),"")</f>
        <v/>
      </c>
      <c r="L76" s="64">
        <f>IFERROR(ROUND((L75/$B$7)*100,2),"")</f>
        <v/>
      </c>
      <c r="M76" s="64">
        <f>IFERROR(ROUND((M75/$B$7)*100,2),"")</f>
        <v/>
      </c>
      <c r="N76" s="64">
        <f>IFERROR(ROUND((N75/$B$7)*100,2),"")</f>
        <v/>
      </c>
      <c r="O76" s="64">
        <f>IFERROR(ROUND((O75/$B$7)*100,2),"")</f>
        <v/>
      </c>
      <c r="P76" s="64">
        <f>IFERROR(ROUND((P75/$B$7)*100,2),"")</f>
        <v/>
      </c>
      <c r="Q76" s="64">
        <f>IFERROR(ROUND((Q75/$B$7)*100,2),"")</f>
        <v/>
      </c>
      <c r="R76" s="64">
        <f>IFERROR(ROUND((R75/$B$7)*100,2),"")</f>
        <v/>
      </c>
      <c r="S76" s="64">
        <f>IFERROR(ROUND((S75/$B$7)*100,2),"")</f>
        <v/>
      </c>
      <c r="T76" s="64">
        <f>IFERROR(ROUND((T75/$B$7)*100,2),"")</f>
        <v/>
      </c>
      <c r="U76" s="64">
        <f>IFERROR(ROUND((U75/$B$7)*100,2),"")</f>
        <v/>
      </c>
      <c r="V76" s="64">
        <f>IFERROR(ROUND((V75/$B$7)*100,2),"")</f>
        <v/>
      </c>
      <c r="W76" s="64">
        <f>IFERROR(ROUND((W75/$B$7)*100,2),"")</f>
        <v/>
      </c>
      <c r="X76" s="416" t="n"/>
    </row>
    <row r="77" hidden="1" ht="15.75" customHeight="1" s="1">
      <c r="A77" s="79" t="n"/>
      <c r="B77" s="320" t="n"/>
      <c r="C77" s="82" t="n"/>
      <c r="D77" s="82" t="n"/>
      <c r="E77" s="82" t="n"/>
      <c r="F77" s="82" t="n"/>
      <c r="G77" s="82" t="n"/>
      <c r="H77" s="82" t="n"/>
      <c r="I77" s="82" t="n"/>
      <c r="J77" s="82" t="n"/>
      <c r="K77" s="82" t="n"/>
      <c r="L77" s="82" t="n"/>
      <c r="M77" s="82" t="n"/>
      <c r="N77" s="82" t="n"/>
      <c r="O77" s="82" t="n"/>
      <c r="P77" s="82" t="n"/>
      <c r="Q77" s="82" t="n"/>
      <c r="R77" s="82" t="n"/>
      <c r="S77" s="82" t="n"/>
      <c r="T77" s="82" t="n"/>
      <c r="U77" s="82" t="n"/>
      <c r="V77" s="82" t="n"/>
      <c r="W77" s="82" t="n"/>
      <c r="X77" s="260" t="n"/>
      <c r="Y77" s="260" t="n"/>
      <c r="Z77" s="82" t="n"/>
    </row>
    <row r="78" hidden="1" ht="15.75" customHeight="1" s="1">
      <c r="A78" s="321" t="inlineStr">
        <is>
          <t>Item Number</t>
        </is>
      </c>
      <c r="B78" s="322">
        <f>A11&amp;" IN "&amp;B5</f>
        <v/>
      </c>
      <c r="C78" s="412" t="n"/>
      <c r="D78" s="412" t="n"/>
      <c r="E78" s="412" t="n"/>
      <c r="F78" s="412" t="n"/>
      <c r="G78" s="412" t="n"/>
      <c r="H78" s="412" t="n"/>
      <c r="I78" s="412" t="n"/>
      <c r="J78" s="412" t="n"/>
      <c r="K78" s="412" t="n"/>
      <c r="L78" s="412" t="n"/>
      <c r="M78" s="412" t="n"/>
      <c r="N78" s="412" t="n"/>
      <c r="O78" s="412" t="n"/>
      <c r="P78" s="412" t="n"/>
      <c r="Q78" s="412" t="n"/>
      <c r="R78" s="412" t="n"/>
      <c r="S78" s="412" t="n"/>
      <c r="T78" s="412" t="n"/>
      <c r="U78" s="412" t="n"/>
      <c r="V78" s="412" t="n"/>
      <c r="W78" s="412" t="n"/>
      <c r="X78" s="412" t="n"/>
      <c r="Y78" s="412" t="n"/>
      <c r="Z78" s="412" t="n"/>
    </row>
    <row r="79" hidden="1" ht="15.75" customHeight="1" s="1">
      <c r="A79" s="416" t="n"/>
      <c r="B79" s="323" t="inlineStr">
        <is>
          <t>Question</t>
        </is>
      </c>
      <c r="C79" s="412" t="n"/>
      <c r="D79" s="412" t="n"/>
      <c r="E79" s="412" t="n"/>
      <c r="F79" s="412" t="n"/>
      <c r="G79" s="412" t="n"/>
      <c r="H79" s="412" t="n"/>
      <c r="I79" s="412" t="n"/>
      <c r="J79" s="412" t="n"/>
      <c r="K79" s="412" t="n"/>
      <c r="L79" s="412" t="n"/>
      <c r="M79" s="412" t="n"/>
      <c r="N79" s="323" t="inlineStr">
        <is>
          <t>Least Mastered Competencies/Skills</t>
        </is>
      </c>
      <c r="O79" s="412" t="n"/>
      <c r="P79" s="412" t="n"/>
      <c r="Q79" s="412" t="n"/>
      <c r="R79" s="412" t="n"/>
      <c r="S79" s="412" t="n"/>
      <c r="T79" s="412" t="n"/>
      <c r="U79" s="412" t="n"/>
      <c r="V79" s="412" t="n"/>
      <c r="W79" s="412" t="n"/>
      <c r="X79" s="412" t="n"/>
      <c r="Y79" s="412" t="n"/>
      <c r="Z79" s="412" t="n"/>
    </row>
    <row r="80" hidden="1" ht="34.5" customHeight="1" s="1">
      <c r="A80" s="324" t="n"/>
      <c r="B80" s="325" t="n"/>
      <c r="C80" s="417" t="n"/>
      <c r="D80" s="417" t="n"/>
      <c r="E80" s="417" t="n"/>
      <c r="F80" s="417" t="n"/>
      <c r="G80" s="417" t="n"/>
      <c r="H80" s="417" t="n"/>
      <c r="I80" s="417" t="n"/>
      <c r="J80" s="417" t="n"/>
      <c r="K80" s="417" t="n"/>
      <c r="L80" s="417" t="n"/>
      <c r="M80" s="417" t="n"/>
      <c r="N80" s="325" t="n"/>
      <c r="O80" s="417" t="n"/>
      <c r="P80" s="417" t="n"/>
      <c r="Q80" s="417" t="n"/>
      <c r="R80" s="417" t="n"/>
      <c r="S80" s="417" t="n"/>
      <c r="T80" s="417" t="n"/>
      <c r="U80" s="417" t="n"/>
      <c r="V80" s="417" t="n"/>
      <c r="W80" s="417" t="n"/>
      <c r="X80" s="417" t="n"/>
      <c r="Y80" s="417" t="n"/>
      <c r="Z80" s="417" t="n"/>
    </row>
    <row r="81" hidden="1" ht="34.5" customHeight="1" s="1">
      <c r="A81" s="326" t="n"/>
      <c r="B81" s="327" t="n"/>
      <c r="C81" s="412" t="n"/>
      <c r="D81" s="412" t="n"/>
      <c r="E81" s="412" t="n"/>
      <c r="F81" s="412" t="n"/>
      <c r="G81" s="412" t="n"/>
      <c r="H81" s="412" t="n"/>
      <c r="I81" s="412" t="n"/>
      <c r="J81" s="412" t="n"/>
      <c r="K81" s="412" t="n"/>
      <c r="L81" s="412" t="n"/>
      <c r="M81" s="412" t="n"/>
      <c r="N81" s="325" t="n"/>
      <c r="O81" s="417" t="n"/>
      <c r="P81" s="417" t="n"/>
      <c r="Q81" s="417" t="n"/>
      <c r="R81" s="417" t="n"/>
      <c r="S81" s="417" t="n"/>
      <c r="T81" s="417" t="n"/>
      <c r="U81" s="417" t="n"/>
      <c r="V81" s="417" t="n"/>
      <c r="W81" s="417" t="n"/>
      <c r="X81" s="417" t="n"/>
      <c r="Y81" s="417" t="n"/>
      <c r="Z81" s="417" t="n"/>
    </row>
    <row r="82" hidden="1" ht="34.5" customHeight="1" s="1">
      <c r="A82" s="326" t="n"/>
      <c r="B82" s="327" t="n"/>
      <c r="C82" s="412" t="n"/>
      <c r="D82" s="412" t="n"/>
      <c r="E82" s="412" t="n"/>
      <c r="F82" s="412" t="n"/>
      <c r="G82" s="412" t="n"/>
      <c r="H82" s="412" t="n"/>
      <c r="I82" s="412" t="n"/>
      <c r="J82" s="412" t="n"/>
      <c r="K82" s="412" t="n"/>
      <c r="L82" s="412" t="n"/>
      <c r="M82" s="412" t="n"/>
      <c r="N82" s="325" t="n"/>
      <c r="O82" s="417" t="n"/>
      <c r="P82" s="417" t="n"/>
      <c r="Q82" s="417" t="n"/>
      <c r="R82" s="417" t="n"/>
      <c r="S82" s="417" t="n"/>
      <c r="T82" s="417" t="n"/>
      <c r="U82" s="417" t="n"/>
      <c r="V82" s="417" t="n"/>
      <c r="W82" s="417" t="n"/>
      <c r="X82" s="417" t="n"/>
      <c r="Y82" s="417" t="n"/>
      <c r="Z82" s="417" t="n"/>
    </row>
    <row r="83" hidden="1" ht="34.5" customHeight="1" s="1">
      <c r="A83" s="326" t="n"/>
      <c r="B83" s="327" t="n"/>
      <c r="C83" s="412" t="n"/>
      <c r="D83" s="412" t="n"/>
      <c r="E83" s="412" t="n"/>
      <c r="F83" s="412" t="n"/>
      <c r="G83" s="412" t="n"/>
      <c r="H83" s="412" t="n"/>
      <c r="I83" s="412" t="n"/>
      <c r="J83" s="412" t="n"/>
      <c r="K83" s="412" t="n"/>
      <c r="L83" s="412" t="n"/>
      <c r="M83" s="412" t="n"/>
      <c r="N83" s="325" t="n"/>
      <c r="O83" s="417" t="n"/>
      <c r="P83" s="417" t="n"/>
      <c r="Q83" s="417" t="n"/>
      <c r="R83" s="417" t="n"/>
      <c r="S83" s="417" t="n"/>
      <c r="T83" s="417" t="n"/>
      <c r="U83" s="417" t="n"/>
      <c r="V83" s="417" t="n"/>
      <c r="W83" s="417" t="n"/>
      <c r="X83" s="417" t="n"/>
      <c r="Y83" s="417" t="n"/>
      <c r="Z83" s="417" t="n"/>
    </row>
    <row r="84" hidden="1" ht="34.5" customHeight="1" s="1">
      <c r="A84" s="326" t="n"/>
      <c r="B84" s="327" t="n"/>
      <c r="C84" s="412" t="n"/>
      <c r="D84" s="412" t="n"/>
      <c r="E84" s="412" t="n"/>
      <c r="F84" s="412" t="n"/>
      <c r="G84" s="412" t="n"/>
      <c r="H84" s="412" t="n"/>
      <c r="I84" s="412" t="n"/>
      <c r="J84" s="412" t="n"/>
      <c r="K84" s="412" t="n"/>
      <c r="L84" s="412" t="n"/>
      <c r="M84" s="412" t="n"/>
      <c r="N84" s="325" t="n"/>
      <c r="O84" s="417" t="n"/>
      <c r="P84" s="417" t="n"/>
      <c r="Q84" s="417" t="n"/>
      <c r="R84" s="417" t="n"/>
      <c r="S84" s="417" t="n"/>
      <c r="T84" s="417" t="n"/>
      <c r="U84" s="417" t="n"/>
      <c r="V84" s="417" t="n"/>
      <c r="W84" s="417" t="n"/>
      <c r="X84" s="417" t="n"/>
      <c r="Y84" s="417" t="n"/>
      <c r="Z84" s="417" t="n"/>
    </row>
    <row r="85" hidden="1" ht="34.5" customHeight="1" s="1">
      <c r="A85" s="326" t="n"/>
      <c r="B85" s="327" t="n"/>
      <c r="C85" s="412" t="n"/>
      <c r="D85" s="412" t="n"/>
      <c r="E85" s="412" t="n"/>
      <c r="F85" s="412" t="n"/>
      <c r="G85" s="412" t="n"/>
      <c r="H85" s="412" t="n"/>
      <c r="I85" s="412" t="n"/>
      <c r="J85" s="412" t="n"/>
      <c r="K85" s="412" t="n"/>
      <c r="L85" s="412" t="n"/>
      <c r="M85" s="412" t="n"/>
      <c r="N85" s="325" t="n"/>
      <c r="O85" s="417" t="n"/>
      <c r="P85" s="417" t="n"/>
      <c r="Q85" s="417" t="n"/>
      <c r="R85" s="417" t="n"/>
      <c r="S85" s="417" t="n"/>
      <c r="T85" s="417" t="n"/>
      <c r="U85" s="417" t="n"/>
      <c r="V85" s="417" t="n"/>
      <c r="W85" s="417" t="n"/>
      <c r="X85" s="417" t="n"/>
      <c r="Y85" s="417" t="n"/>
      <c r="Z85" s="417" t="n"/>
    </row>
    <row r="86" hidden="1" ht="34.5" customHeight="1" s="1">
      <c r="A86" s="326" t="n"/>
      <c r="B86" s="327" t="n"/>
      <c r="C86" s="412" t="n"/>
      <c r="D86" s="412" t="n"/>
      <c r="E86" s="412" t="n"/>
      <c r="F86" s="412" t="n"/>
      <c r="G86" s="412" t="n"/>
      <c r="H86" s="412" t="n"/>
      <c r="I86" s="412" t="n"/>
      <c r="J86" s="412" t="n"/>
      <c r="K86" s="412" t="n"/>
      <c r="L86" s="412" t="n"/>
      <c r="M86" s="412" t="n"/>
      <c r="N86" s="327" t="n"/>
      <c r="O86" s="412" t="n"/>
      <c r="P86" s="412" t="n"/>
      <c r="Q86" s="412" t="n"/>
      <c r="R86" s="412" t="n"/>
      <c r="S86" s="412" t="n"/>
      <c r="T86" s="412" t="n"/>
      <c r="U86" s="412" t="n"/>
      <c r="V86" s="412" t="n"/>
      <c r="W86" s="412" t="n"/>
      <c r="X86" s="412" t="n"/>
      <c r="Y86" s="412" t="n"/>
      <c r="Z86" s="412" t="n"/>
    </row>
    <row r="87" hidden="1" ht="34.5" customHeight="1" s="1">
      <c r="A87" s="326" t="n"/>
      <c r="B87" s="327" t="n"/>
      <c r="C87" s="412" t="n"/>
      <c r="D87" s="412" t="n"/>
      <c r="E87" s="412" t="n"/>
      <c r="F87" s="412" t="n"/>
      <c r="G87" s="412" t="n"/>
      <c r="H87" s="412" t="n"/>
      <c r="I87" s="412" t="n"/>
      <c r="J87" s="412" t="n"/>
      <c r="K87" s="412" t="n"/>
      <c r="L87" s="412" t="n"/>
      <c r="M87" s="412" t="n"/>
      <c r="N87" s="325" t="n"/>
      <c r="O87" s="417" t="n"/>
      <c r="P87" s="417" t="n"/>
      <c r="Q87" s="417" t="n"/>
      <c r="R87" s="417" t="n"/>
      <c r="S87" s="417" t="n"/>
      <c r="T87" s="417" t="n"/>
      <c r="U87" s="417" t="n"/>
      <c r="V87" s="417" t="n"/>
      <c r="W87" s="417" t="n"/>
      <c r="X87" s="417" t="n"/>
      <c r="Y87" s="417" t="n"/>
      <c r="Z87" s="417" t="n"/>
    </row>
    <row r="88" hidden="1" ht="34.5" customHeight="1" s="1">
      <c r="A88" s="326" t="n"/>
      <c r="B88" s="327" t="n"/>
      <c r="C88" s="412" t="n"/>
      <c r="D88" s="412" t="n"/>
      <c r="E88" s="412" t="n"/>
      <c r="F88" s="412" t="n"/>
      <c r="G88" s="412" t="n"/>
      <c r="H88" s="412" t="n"/>
      <c r="I88" s="412" t="n"/>
      <c r="J88" s="412" t="n"/>
      <c r="K88" s="412" t="n"/>
      <c r="L88" s="412" t="n"/>
      <c r="M88" s="412" t="n"/>
      <c r="N88" s="327" t="n"/>
      <c r="O88" s="412" t="n"/>
      <c r="P88" s="412" t="n"/>
      <c r="Q88" s="412" t="n"/>
      <c r="R88" s="412" t="n"/>
      <c r="S88" s="412" t="n"/>
      <c r="T88" s="412" t="n"/>
      <c r="U88" s="412" t="n"/>
      <c r="V88" s="412" t="n"/>
      <c r="W88" s="412" t="n"/>
      <c r="X88" s="412" t="n"/>
      <c r="Y88" s="412" t="n"/>
      <c r="Z88" s="412" t="n"/>
    </row>
    <row r="89" hidden="1" ht="34.5" customHeight="1" s="1">
      <c r="A89" s="326" t="n"/>
      <c r="B89" s="327" t="n"/>
      <c r="C89" s="412" t="n"/>
      <c r="D89" s="412" t="n"/>
      <c r="E89" s="412" t="n"/>
      <c r="F89" s="412" t="n"/>
      <c r="G89" s="412" t="n"/>
      <c r="H89" s="412" t="n"/>
      <c r="I89" s="412" t="n"/>
      <c r="J89" s="412" t="n"/>
      <c r="K89" s="412" t="n"/>
      <c r="L89" s="412" t="n"/>
      <c r="M89" s="412" t="n"/>
      <c r="N89" s="325" t="n"/>
      <c r="O89" s="417" t="n"/>
      <c r="P89" s="417" t="n"/>
      <c r="Q89" s="417" t="n"/>
      <c r="R89" s="417" t="n"/>
      <c r="S89" s="417" t="n"/>
      <c r="T89" s="417" t="n"/>
      <c r="U89" s="417" t="n"/>
      <c r="V89" s="417" t="n"/>
      <c r="W89" s="417" t="n"/>
      <c r="X89" s="417" t="n"/>
      <c r="Y89" s="417" t="n"/>
      <c r="Z89" s="417" t="n"/>
    </row>
    <row r="90" ht="15.75" customHeight="1" s="1">
      <c r="A90" s="328" t="inlineStr">
        <is>
          <t>Prepared:</t>
        </is>
      </c>
      <c r="F90" s="329" t="n"/>
      <c r="G90" s="329" t="n"/>
      <c r="H90" s="329" t="n"/>
      <c r="I90" s="80" t="n"/>
      <c r="J90" s="80" t="n"/>
      <c r="K90" s="80" t="n"/>
      <c r="L90" s="80" t="n"/>
      <c r="M90" s="80" t="n"/>
      <c r="N90" s="329" t="n"/>
      <c r="O90" s="329" t="n"/>
      <c r="P90" s="329" t="n"/>
      <c r="Q90" s="80" t="n"/>
      <c r="R90" s="80" t="n"/>
      <c r="S90" s="80" t="n"/>
      <c r="T90" s="80" t="n"/>
      <c r="U90" s="80" t="n"/>
      <c r="V90" s="329" t="n"/>
      <c r="W90" s="329" t="n"/>
      <c r="X90" s="329" t="n"/>
      <c r="Y90" s="329" t="n"/>
      <c r="Z90" s="329" t="n"/>
    </row>
    <row r="91" ht="21.75" customHeight="1" s="1">
      <c r="A91" s="329" t="n"/>
      <c r="B91" s="329" t="n"/>
      <c r="C91" s="329" t="n"/>
      <c r="D91" s="329" t="n"/>
      <c r="E91" s="329" t="n"/>
      <c r="F91" s="329" t="n"/>
      <c r="G91" s="329" t="n"/>
      <c r="H91" s="329" t="n"/>
      <c r="I91" s="329" t="n"/>
      <c r="J91" s="329" t="n"/>
      <c r="K91" s="329" t="n"/>
      <c r="L91" s="329" t="n"/>
      <c r="M91" s="329" t="n"/>
      <c r="N91" s="329" t="n"/>
      <c r="O91" s="329" t="n"/>
      <c r="P91" s="329" t="n"/>
      <c r="Q91" s="329" t="n"/>
      <c r="R91" s="329" t="n"/>
      <c r="S91" s="329" t="n"/>
      <c r="T91" s="329" t="n"/>
      <c r="U91" s="329" t="n"/>
      <c r="V91" s="329" t="n"/>
      <c r="W91" s="329" t="n"/>
      <c r="X91" s="329" t="n"/>
      <c r="Y91" s="329" t="n"/>
      <c r="Z91" s="329" t="n"/>
    </row>
    <row r="92" ht="15.75" customHeight="1" s="1">
      <c r="A92" s="181" t="n"/>
      <c r="B92" s="417" t="n"/>
      <c r="C92" s="417" t="n"/>
      <c r="D92" s="417" t="n"/>
      <c r="E92" s="417" t="n"/>
      <c r="F92" s="183" t="n"/>
      <c r="G92" s="183" t="n"/>
      <c r="H92" s="184" t="inlineStr">
        <is>
          <t>ALVIN A. SAN GABRIEL</t>
        </is>
      </c>
      <c r="L92" s="185" t="n"/>
      <c r="M92" s="184" t="n"/>
      <c r="Q92" s="185" t="n"/>
      <c r="R92" s="184" t="n"/>
      <c r="V92" s="183" t="n"/>
      <c r="W92" s="184" t="n"/>
    </row>
    <row r="93" ht="15.75" customHeight="1" s="1">
      <c r="A93" s="186" t="inlineStr">
        <is>
          <t>Learning Area Key Teacher</t>
        </is>
      </c>
      <c r="B93" s="415" t="n"/>
      <c r="C93" s="415" t="n"/>
      <c r="D93" s="415" t="n"/>
      <c r="E93" s="415" t="n"/>
      <c r="F93" s="188" t="n"/>
      <c r="G93" s="188" t="n"/>
      <c r="H93" s="189" t="inlineStr">
        <is>
          <t>Subject Teacher</t>
        </is>
      </c>
      <c r="I93" s="415" t="n"/>
      <c r="J93" s="415" t="n"/>
      <c r="K93" s="415" t="n"/>
      <c r="L93" s="190" t="n"/>
      <c r="M93" s="189" t="inlineStr">
        <is>
          <t>Subject Teacher</t>
        </is>
      </c>
      <c r="N93" s="415" t="n"/>
      <c r="O93" s="415" t="n"/>
      <c r="P93" s="415" t="n"/>
      <c r="Q93" s="190" t="n"/>
      <c r="R93" s="189" t="inlineStr">
        <is>
          <t>Subject Teacher</t>
        </is>
      </c>
      <c r="S93" s="415" t="n"/>
      <c r="T93" s="415" t="n"/>
      <c r="U93" s="415" t="n"/>
      <c r="V93" s="188" t="n"/>
      <c r="W93" s="189" t="inlineStr">
        <is>
          <t>Subject Teacher</t>
        </is>
      </c>
      <c r="X93" s="415" t="n"/>
      <c r="Y93" s="415" t="n"/>
      <c r="Z93" s="415" t="n"/>
    </row>
    <row r="94" ht="15.75" customHeight="1" s="1">
      <c r="A94" s="329" t="n"/>
      <c r="B94" s="329" t="n"/>
      <c r="C94" s="329" t="n"/>
      <c r="D94" s="329" t="n"/>
      <c r="E94" s="329" t="n"/>
      <c r="F94" s="329" t="n"/>
      <c r="G94" s="329" t="n"/>
      <c r="H94" s="329" t="n"/>
      <c r="I94" s="329" t="n"/>
      <c r="J94" s="329" t="n"/>
      <c r="K94" s="329" t="n"/>
      <c r="L94" s="329" t="n"/>
      <c r="M94" s="329" t="n"/>
      <c r="N94" s="329" t="n"/>
      <c r="O94" s="329" t="n"/>
      <c r="P94" s="329" t="n"/>
      <c r="Q94" s="329" t="n"/>
      <c r="R94" s="329" t="n"/>
      <c r="S94" s="329" t="n"/>
      <c r="T94" s="329" t="n"/>
      <c r="U94" s="329" t="n"/>
      <c r="V94" s="329" t="n"/>
      <c r="W94" s="329" t="n"/>
      <c r="X94" s="329" t="n"/>
      <c r="Y94" s="329" t="n"/>
      <c r="Z94" s="329" t="n"/>
    </row>
    <row r="95" ht="15.75" customHeight="1" s="1">
      <c r="A95" s="328" t="inlineStr">
        <is>
          <t>Reviewed:</t>
        </is>
      </c>
      <c r="F95" s="329" t="n"/>
      <c r="G95" s="329" t="n"/>
      <c r="H95" s="329" t="n"/>
      <c r="I95" s="329" t="n"/>
      <c r="J95" s="329" t="n"/>
      <c r="K95" s="329" t="n"/>
      <c r="L95" s="329" t="n"/>
      <c r="M95" s="329" t="n"/>
      <c r="N95" s="329" t="n"/>
      <c r="O95" s="329" t="n"/>
      <c r="P95" s="329" t="n"/>
      <c r="Q95" s="329" t="n"/>
      <c r="R95" s="329" t="n"/>
      <c r="S95" s="329" t="n"/>
      <c r="T95" s="329" t="n"/>
      <c r="U95" s="329" t="n"/>
      <c r="V95" s="329" t="n"/>
      <c r="W95" s="329" t="n"/>
      <c r="X95" s="329" t="n"/>
      <c r="Y95" s="329" t="n"/>
      <c r="Z95" s="329" t="n"/>
    </row>
    <row r="96" ht="21.75" customHeight="1" s="1">
      <c r="A96" s="329" t="n"/>
      <c r="B96" s="329" t="n"/>
      <c r="C96" s="329" t="n"/>
      <c r="D96" s="329" t="n"/>
      <c r="E96" s="329" t="n"/>
      <c r="F96" s="329" t="n"/>
      <c r="G96" s="329" t="n"/>
      <c r="H96" s="329" t="n"/>
      <c r="I96" s="329" t="n"/>
      <c r="J96" s="329" t="n"/>
      <c r="K96" s="329" t="n"/>
      <c r="L96" s="329" t="n"/>
      <c r="M96" s="329" t="n"/>
      <c r="N96" s="329" t="n"/>
      <c r="O96" s="329" t="n"/>
      <c r="P96" s="329" t="n"/>
      <c r="Q96" s="329" t="n"/>
      <c r="R96" s="184" t="n"/>
      <c r="V96" s="183" t="n"/>
      <c r="W96" s="184" t="n"/>
    </row>
    <row r="97" ht="15.75" customHeight="1" s="1">
      <c r="A97" s="181" t="n"/>
      <c r="B97" s="417" t="n"/>
      <c r="C97" s="417" t="n"/>
      <c r="D97" s="417" t="n"/>
      <c r="E97" s="417" t="n"/>
      <c r="F97" s="329" t="n"/>
      <c r="G97" s="329" t="n"/>
      <c r="H97" s="329" t="n"/>
      <c r="I97" s="329" t="n"/>
      <c r="J97" s="329" t="n"/>
      <c r="K97" s="329" t="n"/>
      <c r="L97" s="329" t="n"/>
      <c r="M97" s="329" t="n"/>
      <c r="N97" s="329" t="n"/>
      <c r="O97" s="329" t="n"/>
      <c r="P97" s="329" t="n"/>
      <c r="Q97" s="329" t="n"/>
      <c r="R97" s="189" t="inlineStr">
        <is>
          <t>Subject Teacher</t>
        </is>
      </c>
      <c r="S97" s="415" t="n"/>
      <c r="T97" s="415" t="n"/>
      <c r="U97" s="415" t="n"/>
      <c r="V97" s="188" t="n"/>
      <c r="W97" s="189" t="inlineStr">
        <is>
          <t>Subject Teacher</t>
        </is>
      </c>
      <c r="X97" s="415" t="n"/>
      <c r="Y97" s="415" t="n"/>
      <c r="Z97" s="415" t="n"/>
    </row>
    <row r="98" ht="15.75" customHeight="1" s="1">
      <c r="A98" s="186" t="inlineStr">
        <is>
          <t>Master Teacher/Head Teacher</t>
        </is>
      </c>
      <c r="B98" s="415" t="n"/>
      <c r="C98" s="415" t="n"/>
      <c r="D98" s="415" t="n"/>
      <c r="E98" s="415" t="n"/>
      <c r="F98" s="329" t="n"/>
      <c r="G98" s="329" t="n"/>
      <c r="H98" s="329" t="n"/>
      <c r="I98" s="329" t="n"/>
      <c r="J98" s="329" t="n"/>
      <c r="K98" s="329" t="n"/>
      <c r="L98" s="329" t="n"/>
      <c r="M98" s="329" t="n"/>
      <c r="N98" s="329" t="n"/>
      <c r="O98" s="329" t="n"/>
      <c r="P98" s="329" t="n"/>
      <c r="Q98" s="329" t="n"/>
      <c r="R98" s="329" t="n"/>
      <c r="S98" s="329" t="n"/>
      <c r="T98" s="329" t="n"/>
      <c r="U98" s="329" t="n"/>
      <c r="V98" s="329" t="n"/>
      <c r="W98" s="329" t="n"/>
      <c r="X98" s="329" t="n"/>
      <c r="Y98" s="329" t="n"/>
      <c r="Z98" s="329" t="n"/>
    </row>
    <row r="99" ht="15.75" customHeight="1" s="1">
      <c r="A99" s="329" t="n"/>
      <c r="B99" s="329" t="n"/>
      <c r="C99" s="329" t="n"/>
      <c r="D99" s="329" t="n"/>
      <c r="E99" s="329" t="n"/>
      <c r="F99" s="329" t="n"/>
      <c r="G99" s="329" t="n"/>
      <c r="H99" s="329" t="n"/>
      <c r="I99" s="329" t="n"/>
      <c r="J99" s="329" t="n"/>
      <c r="K99" s="329" t="n"/>
      <c r="L99" s="329" t="n"/>
      <c r="M99" s="329" t="n"/>
      <c r="N99" s="329" t="n"/>
      <c r="O99" s="329" t="n"/>
      <c r="P99" s="329" t="n"/>
      <c r="Q99" s="329" t="n"/>
      <c r="R99" s="329" t="n"/>
      <c r="S99" s="329" t="n"/>
      <c r="T99" s="329" t="n"/>
      <c r="U99" s="329" t="n"/>
      <c r="V99" s="329" t="n"/>
      <c r="W99" s="329" t="n"/>
      <c r="X99" s="329" t="n"/>
      <c r="Y99" s="329" t="n"/>
      <c r="Z99" s="329" t="n"/>
    </row>
    <row r="100" ht="15.75" customHeight="1" s="1">
      <c r="A100" s="328" t="inlineStr">
        <is>
          <t>Noted and Approved for Submission to CSDO:</t>
        </is>
      </c>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ht="21.75" customHeight="1" s="1">
      <c r="A101" s="329" t="n"/>
      <c r="B101" s="329" t="n"/>
      <c r="C101" s="329" t="n"/>
      <c r="D101" s="329" t="n"/>
      <c r="E101" s="329" t="n"/>
      <c r="F101" s="329" t="n"/>
      <c r="G101" s="329" t="n"/>
      <c r="H101" s="329" t="n"/>
      <c r="I101" s="329" t="n"/>
      <c r="J101" s="329" t="n"/>
      <c r="K101" s="329" t="n"/>
      <c r="L101" s="329" t="n"/>
      <c r="M101" s="329" t="n"/>
      <c r="N101" s="329" t="n"/>
      <c r="O101" s="329" t="n"/>
      <c r="P101" s="329" t="n"/>
      <c r="Q101" s="329" t="n"/>
      <c r="R101" s="329" t="n"/>
      <c r="S101" s="329" t="n"/>
      <c r="T101" s="329" t="n"/>
      <c r="U101" s="329" t="n"/>
      <c r="V101" s="329" t="n"/>
      <c r="W101" s="329" t="n"/>
      <c r="X101" s="329" t="n"/>
      <c r="Y101" s="329" t="n"/>
      <c r="Z101" s="329" t="n"/>
    </row>
    <row r="102" ht="15.75" customHeight="1" s="1">
      <c r="A102" s="191" t="inlineStr">
        <is>
          <t>MA. CRISTINA P. ALCARAZ</t>
        </is>
      </c>
      <c r="B102" s="417" t="n"/>
      <c r="C102" s="417" t="n"/>
      <c r="D102" s="417" t="n"/>
      <c r="E102" s="417" t="n"/>
      <c r="F102" s="329" t="n"/>
      <c r="G102" s="329" t="n"/>
      <c r="H102" s="329" t="n"/>
      <c r="I102" s="329" t="n"/>
      <c r="J102" s="329" t="n"/>
      <c r="K102" s="329" t="n"/>
      <c r="L102" s="329" t="n"/>
      <c r="M102" s="329" t="n"/>
      <c r="N102" s="329" t="n"/>
      <c r="O102" s="329" t="n"/>
      <c r="P102" s="329" t="n"/>
      <c r="Q102" s="329" t="n"/>
      <c r="R102" s="329" t="n"/>
      <c r="S102" s="329" t="n"/>
      <c r="T102" s="329" t="n"/>
      <c r="U102" s="329" t="n"/>
      <c r="V102" s="329" t="n"/>
      <c r="W102" s="329" t="n"/>
      <c r="X102" s="329" t="n"/>
      <c r="Y102" s="329" t="n"/>
      <c r="Z102" s="329" t="n"/>
    </row>
    <row r="103" ht="15.75" customHeight="1" s="1">
      <c r="A103" s="186" t="inlineStr">
        <is>
          <t>School Head</t>
        </is>
      </c>
      <c r="B103" s="415" t="n"/>
      <c r="C103" s="415" t="n"/>
      <c r="D103" s="415" t="n"/>
      <c r="E103" s="415"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ht="15.75" customHeight="1" s="1">
      <c r="A104" s="330" t="n"/>
      <c r="B104" s="82" t="n"/>
      <c r="C104" s="82" t="n"/>
      <c r="D104" s="82" t="n"/>
      <c r="E104" s="82" t="n"/>
      <c r="F104" s="82" t="n"/>
      <c r="G104" s="82" t="n"/>
      <c r="H104" s="82" t="n"/>
      <c r="I104" s="82" t="n"/>
      <c r="J104" s="82" t="n"/>
      <c r="K104" s="82" t="n"/>
      <c r="L104" s="82" t="n"/>
      <c r="M104" s="82" t="n"/>
      <c r="N104" s="82" t="n"/>
      <c r="O104" s="82" t="n"/>
      <c r="P104" s="82" t="n"/>
      <c r="Q104" s="82" t="n"/>
      <c r="R104" s="82" t="n"/>
      <c r="S104" s="82" t="n"/>
      <c r="T104" s="82" t="n"/>
      <c r="U104" s="82" t="n"/>
      <c r="V104" s="82" t="n"/>
      <c r="W104" s="82" t="n"/>
      <c r="X104" s="82" t="n"/>
      <c r="Y104" s="82" t="n"/>
      <c r="Z104" s="69" t="n"/>
    </row>
    <row r="105" ht="15.75" customHeight="1" s="1">
      <c r="A105" s="330" t="n"/>
      <c r="B105" s="330" t="n"/>
      <c r="C105" s="331" t="n"/>
      <c r="D105" s="332" t="n"/>
      <c r="E105" s="80" t="n"/>
      <c r="F105" s="80" t="n"/>
      <c r="G105" s="80" t="n"/>
      <c r="H105" s="80" t="n"/>
      <c r="I105" s="80" t="n"/>
      <c r="J105" s="80" t="n"/>
      <c r="K105" s="80" t="n"/>
      <c r="L105" s="80" t="n"/>
      <c r="M105" s="80" t="n"/>
      <c r="N105" s="80" t="n"/>
      <c r="O105" s="80" t="n"/>
      <c r="P105" s="80" t="n"/>
      <c r="Q105" s="80" t="n"/>
      <c r="R105" s="80" t="n"/>
      <c r="S105" s="80" t="n"/>
      <c r="T105" s="80" t="n"/>
      <c r="U105" s="80" t="n"/>
      <c r="V105" s="330" t="n"/>
      <c r="W105" s="330" t="n"/>
      <c r="X105" s="330" t="n"/>
      <c r="Y105" s="330" t="n"/>
      <c r="Z105" s="330" t="n"/>
    </row>
    <row r="106" hidden="1" ht="15.75" customHeight="1" s="1">
      <c r="A106" s="330" t="n"/>
      <c r="B106" s="82" t="n"/>
      <c r="C106" s="82" t="n"/>
      <c r="D106" s="82" t="n"/>
      <c r="E106" s="82" t="n"/>
      <c r="F106" s="82" t="n"/>
      <c r="G106" s="82" t="n"/>
      <c r="H106" s="82" t="n"/>
      <c r="I106" s="82" t="n"/>
      <c r="J106" s="82" t="n"/>
      <c r="K106" s="82" t="n"/>
      <c r="L106" s="82" t="n"/>
      <c r="M106" s="82" t="n"/>
      <c r="N106" s="82" t="n"/>
      <c r="O106" s="82" t="n"/>
      <c r="P106" s="82" t="n"/>
      <c r="Q106" s="82" t="n"/>
      <c r="R106" s="82" t="n"/>
      <c r="S106" s="82" t="n"/>
      <c r="T106" s="82" t="n"/>
      <c r="U106" s="82" t="n"/>
      <c r="V106" s="82" t="n"/>
      <c r="W106" s="82" t="n"/>
      <c r="X106" s="82" t="n"/>
      <c r="Y106" s="82" t="n"/>
      <c r="Z106" s="82" t="n"/>
    </row>
    <row r="107" hidden="1" ht="15.75" customHeight="1" s="1">
      <c r="A107" s="330" t="n"/>
      <c r="B107" s="82" t="n"/>
      <c r="C107" s="82" t="n"/>
      <c r="D107" s="82" t="n"/>
      <c r="E107" s="82" t="n"/>
      <c r="F107" s="82" t="n"/>
      <c r="G107" s="82" t="n"/>
      <c r="H107" s="82" t="n"/>
      <c r="I107" s="82" t="n"/>
      <c r="J107" s="82" t="n"/>
      <c r="K107" s="82" t="n"/>
      <c r="L107" s="82" t="n"/>
      <c r="M107" s="82" t="n"/>
      <c r="N107" s="82" t="n"/>
      <c r="O107" s="82" t="n"/>
      <c r="P107" s="82" t="n"/>
      <c r="Q107" s="82" t="n"/>
      <c r="R107" s="82" t="n"/>
      <c r="S107" s="82" t="n"/>
      <c r="T107" s="82" t="n"/>
      <c r="U107" s="82" t="n"/>
      <c r="V107" s="82" t="n"/>
      <c r="W107" s="82" t="n"/>
      <c r="X107" s="82" t="n"/>
      <c r="Y107" s="82" t="n"/>
      <c r="Z107" s="82" t="n"/>
    </row>
    <row r="108" hidden="1" ht="26.25" customHeight="1" s="1">
      <c r="A108" s="333" t="inlineStr">
        <is>
          <t>STEP 2: ENCODE THE QUARTERLY ASSESSMENT SCORES OBTAINED</t>
        </is>
      </c>
      <c r="B108" s="334" t="n"/>
      <c r="C108" s="82" t="n"/>
      <c r="D108" s="82" t="n"/>
      <c r="E108" s="82" t="n"/>
      <c r="F108" s="82" t="n"/>
      <c r="G108" s="82" t="n"/>
      <c r="H108" s="82" t="n"/>
      <c r="I108" s="82" t="n"/>
      <c r="J108" s="82" t="n"/>
      <c r="K108" s="82" t="n"/>
      <c r="L108" s="82" t="n"/>
      <c r="M108" s="82" t="n"/>
      <c r="N108" s="82" t="n"/>
      <c r="O108" s="82" t="n"/>
      <c r="P108" s="82" t="n"/>
      <c r="Q108" s="82" t="n"/>
      <c r="R108" s="82" t="n"/>
      <c r="S108" s="82" t="n"/>
      <c r="T108" s="82" t="n"/>
      <c r="U108" s="82" t="n"/>
      <c r="V108" s="82" t="n"/>
      <c r="W108" s="82" t="n"/>
      <c r="X108" s="82" t="n"/>
      <c r="Y108" s="82" t="n"/>
      <c r="Z108" s="82" t="n"/>
    </row>
    <row r="109" hidden="1" ht="15.75" customHeight="1" s="1">
      <c r="A109" s="330" t="n"/>
      <c r="B109" s="82" t="n"/>
      <c r="C109" s="82" t="n"/>
      <c r="D109" s="82" t="n"/>
      <c r="E109" s="82" t="n"/>
      <c r="F109" s="82" t="n"/>
      <c r="G109" s="82" t="n"/>
      <c r="H109" s="82" t="n"/>
      <c r="I109" s="82" t="n"/>
      <c r="J109" s="82" t="n"/>
      <c r="K109" s="82" t="n"/>
      <c r="L109" s="82" t="n"/>
      <c r="M109" s="82" t="n"/>
      <c r="N109" s="82" t="n"/>
      <c r="O109" s="82" t="n"/>
      <c r="P109" s="82" t="n"/>
      <c r="Q109" s="82" t="n"/>
      <c r="R109" s="82" t="n"/>
      <c r="S109" s="82" t="n"/>
      <c r="T109" s="82" t="n"/>
      <c r="U109" s="82" t="n"/>
      <c r="V109" s="82" t="n"/>
      <c r="W109" s="82" t="n"/>
      <c r="X109" s="82" t="n"/>
      <c r="Y109" s="82" t="n"/>
      <c r="Z109" s="82" t="n"/>
    </row>
    <row r="110" hidden="1" ht="33" customHeight="1" s="1">
      <c r="A110" s="300" t="inlineStr">
        <is>
          <t>QUARTER ASSESSMENT</t>
        </is>
      </c>
      <c r="B110" s="335" t="inlineStr">
        <is>
          <t>QUARTERLY ASSESSMENT SCORES OBTAINED</t>
        </is>
      </c>
      <c r="C110" s="412" t="n"/>
      <c r="D110" s="412" t="n"/>
      <c r="E110" s="412" t="n"/>
      <c r="F110" s="412" t="n"/>
      <c r="G110" s="412" t="n"/>
      <c r="H110" s="412" t="n"/>
      <c r="I110" s="412" t="n"/>
      <c r="J110" s="412" t="n"/>
      <c r="K110" s="412" t="n"/>
      <c r="L110" s="412" t="n"/>
      <c r="M110" s="412" t="n"/>
      <c r="N110" s="412" t="n"/>
      <c r="O110" s="412" t="n"/>
      <c r="P110" s="412" t="n"/>
      <c r="Q110" s="412" t="n"/>
      <c r="R110" s="412" t="n"/>
      <c r="S110" s="412" t="n"/>
      <c r="T110" s="412" t="n"/>
      <c r="U110" s="412" t="n"/>
      <c r="V110" s="414" t="n"/>
      <c r="W110" s="298" t="n"/>
      <c r="X110" s="298" t="n"/>
      <c r="Y110" s="298" t="n"/>
      <c r="Z110" s="298" t="n"/>
    </row>
    <row r="111" hidden="1" ht="39" customHeight="1" s="1">
      <c r="A111" s="42" t="inlineStr">
        <is>
          <t>Sections/Classes</t>
        </is>
      </c>
      <c r="B111" s="336">
        <f>IF(B12&lt;&gt;"",B12,"")</f>
        <v/>
      </c>
      <c r="C111" s="41">
        <f>IF(C12&lt;&gt;"",C12,"")</f>
        <v/>
      </c>
      <c r="D111" s="337">
        <f>IF(D12&lt;&gt;"",D12,"")</f>
        <v/>
      </c>
      <c r="E111" s="338">
        <f>IF(E12&lt;&gt;"",E12,"")</f>
        <v/>
      </c>
      <c r="F111" s="338">
        <f>IF(F12&lt;&gt;"",F12,"")</f>
        <v/>
      </c>
      <c r="G111" s="338">
        <f>IF(G12&lt;&gt;"",G12,"")</f>
        <v/>
      </c>
      <c r="H111" s="338">
        <f>IF(H12&lt;&gt;"",H12,"")</f>
        <v/>
      </c>
      <c r="I111" s="338">
        <f>IF(I12&lt;&gt;"",I12,"")</f>
        <v/>
      </c>
      <c r="J111" s="338">
        <f>IF(J12&lt;&gt;"",J12,"")</f>
        <v/>
      </c>
      <c r="K111" s="338">
        <f>IF(K12&lt;&gt;"",K12,"")</f>
        <v/>
      </c>
      <c r="L111" s="338">
        <f>IF(L12&lt;&gt;"",L12,"")</f>
        <v/>
      </c>
      <c r="M111" s="338">
        <f>IF(M12&lt;&gt;"",M12,"")</f>
        <v/>
      </c>
      <c r="N111" s="338">
        <f>IF(N12&lt;&gt;"",N12,"")</f>
        <v/>
      </c>
      <c r="O111" s="338">
        <f>IF(O12&lt;&gt;"",O12,"")</f>
        <v/>
      </c>
      <c r="P111" s="338">
        <f>IF(P12&lt;&gt;"",P12,"")</f>
        <v/>
      </c>
      <c r="Q111" s="338">
        <f>IF(Q12&lt;&gt;"",Q12,"")</f>
        <v/>
      </c>
      <c r="R111" s="338">
        <f>IF(R12&lt;&gt;"",R12,"")</f>
        <v/>
      </c>
      <c r="S111" s="338">
        <f>IF(S12&lt;&gt;"",S12,"")</f>
        <v/>
      </c>
      <c r="T111" s="338">
        <f>IF(T12&lt;&gt;"",T12,"")</f>
        <v/>
      </c>
      <c r="U111" s="338">
        <f>IF(U12&lt;&gt;"",U12,"")</f>
        <v/>
      </c>
      <c r="V111" s="338">
        <f>IF(V12&lt;&gt;"",V12,"")</f>
        <v/>
      </c>
      <c r="W111" s="69" t="n"/>
      <c r="X111" s="69" t="n"/>
      <c r="Y111" s="80" t="n"/>
      <c r="Z111" s="80" t="n"/>
    </row>
    <row r="112" hidden="1" ht="15.75" customHeight="1" s="1">
      <c r="A112" s="303" t="inlineStr">
        <is>
          <t>No. of Examinees</t>
        </is>
      </c>
      <c r="B112" s="336">
        <f>IF(B13&lt;&gt;"",B13,"")</f>
        <v/>
      </c>
      <c r="C112" s="41">
        <f>IF(C13&lt;&gt;"",C13,"")</f>
        <v/>
      </c>
      <c r="D112" s="339">
        <f>IF(D13&lt;&gt;"",D13,"")</f>
        <v/>
      </c>
      <c r="E112" s="198">
        <f>IF(E13&lt;&gt;"",E13,"")</f>
        <v/>
      </c>
      <c r="F112" s="198">
        <f>IF(F13&lt;&gt;"",F13,"")</f>
        <v/>
      </c>
      <c r="G112" s="198">
        <f>IF(G13&lt;&gt;"",G13,"")</f>
        <v/>
      </c>
      <c r="H112" s="198">
        <f>IF(H13&lt;&gt;"",H13,"")</f>
        <v/>
      </c>
      <c r="I112" s="198">
        <f>IF(I13&lt;&gt;"",I13,"")</f>
        <v/>
      </c>
      <c r="J112" s="198">
        <f>IF(J13&lt;&gt;"",J13,"")</f>
        <v/>
      </c>
      <c r="K112" s="198">
        <f>IF(K13&lt;&gt;"",K13,"")</f>
        <v/>
      </c>
      <c r="L112" s="198">
        <f>IF(L13&lt;&gt;"",L13,"")</f>
        <v/>
      </c>
      <c r="M112" s="198">
        <f>IF(M13&lt;&gt;"",M13,"")</f>
        <v/>
      </c>
      <c r="N112" s="198">
        <f>IF(N13&lt;&gt;"",N13,"")</f>
        <v/>
      </c>
      <c r="O112" s="198">
        <f>IF(O13&lt;&gt;"",O13,"")</f>
        <v/>
      </c>
      <c r="P112" s="198">
        <f>IF(P13&lt;&gt;"",P13,"")</f>
        <v/>
      </c>
      <c r="Q112" s="198">
        <f>IF(Q13&lt;&gt;"",Q13,"")</f>
        <v/>
      </c>
      <c r="R112" s="198">
        <f>IF(R13&lt;&gt;"",R13,"")</f>
        <v/>
      </c>
      <c r="S112" s="198">
        <f>IF(S13&lt;&gt;"",S13,"")</f>
        <v/>
      </c>
      <c r="T112" s="198">
        <f>IF(T13&lt;&gt;"",T13,"")</f>
        <v/>
      </c>
      <c r="U112" s="198">
        <f>IF(U13&lt;&gt;"",U13,"")</f>
        <v/>
      </c>
      <c r="V112" s="198">
        <f>IF(V13&lt;&gt;"",V13,"")</f>
        <v/>
      </c>
      <c r="W112" s="69" t="n"/>
      <c r="X112" s="69" t="n"/>
      <c r="Y112" s="80" t="n"/>
      <c r="Z112" s="80" t="n"/>
    </row>
    <row r="113" hidden="1" ht="15.75" customHeight="1" s="1">
      <c r="A113" s="340" t="inlineStr">
        <is>
          <t>Examinee No.</t>
        </is>
      </c>
      <c r="B113" s="308" t="n"/>
      <c r="C113" s="309" t="n"/>
      <c r="D113" s="54" t="n"/>
      <c r="E113" s="54" t="n"/>
      <c r="F113" s="54" t="n"/>
      <c r="G113" s="54" t="n"/>
      <c r="H113" s="54" t="n"/>
      <c r="I113" s="54" t="n"/>
      <c r="J113" s="54" t="n"/>
      <c r="K113" s="54" t="n"/>
      <c r="L113" s="54" t="n"/>
      <c r="M113" s="54" t="n"/>
      <c r="N113" s="54" t="n"/>
      <c r="O113" s="54" t="n"/>
      <c r="P113" s="54" t="n"/>
      <c r="Q113" s="54" t="n"/>
      <c r="R113" s="54" t="n"/>
      <c r="S113" s="54" t="n"/>
      <c r="T113" s="54" t="n"/>
      <c r="U113" s="54" t="n"/>
      <c r="V113" s="54" t="n"/>
      <c r="W113" s="69" t="n"/>
      <c r="X113" s="69" t="n"/>
    </row>
    <row r="114" hidden="1" ht="15.75" customHeight="1" s="1">
      <c r="A114" s="340" t="n">
        <v>1</v>
      </c>
      <c r="B114" s="341" t="n"/>
      <c r="C114" s="341" t="n"/>
      <c r="D114" s="342" t="n"/>
      <c r="E114" s="200" t="n"/>
      <c r="F114" s="200" t="n"/>
      <c r="G114" s="200" t="n"/>
      <c r="H114" s="200" t="n"/>
      <c r="I114" s="200" t="n"/>
      <c r="J114" s="200" t="n"/>
      <c r="K114" s="200" t="n"/>
      <c r="L114" s="200" t="n"/>
      <c r="M114" s="343" t="n"/>
      <c r="N114" s="344" t="n"/>
      <c r="O114" s="344" t="n"/>
      <c r="P114" s="345" t="n"/>
      <c r="Q114" s="345" t="n"/>
      <c r="R114" s="200" t="n"/>
      <c r="S114" s="200" t="n"/>
      <c r="T114" s="200" t="n"/>
      <c r="U114" s="200" t="n"/>
      <c r="V114" s="200" t="n"/>
      <c r="W114" s="69" t="n"/>
      <c r="X114" s="69" t="n"/>
    </row>
    <row r="115" hidden="1" ht="15.75" customHeight="1" s="1">
      <c r="A115" s="340" t="n">
        <v>2</v>
      </c>
      <c r="B115" s="341" t="n"/>
      <c r="C115" s="341" t="n"/>
      <c r="D115" s="342" t="n"/>
      <c r="E115" s="200" t="n"/>
      <c r="F115" s="200" t="n"/>
      <c r="G115" s="200" t="n"/>
      <c r="H115" s="200" t="n"/>
      <c r="I115" s="200" t="n"/>
      <c r="J115" s="200" t="n"/>
      <c r="K115" s="200" t="n"/>
      <c r="L115" s="200" t="n"/>
      <c r="M115" s="346" t="n"/>
      <c r="N115" s="347" t="n"/>
      <c r="O115" s="347" t="n"/>
      <c r="P115" s="348" t="n"/>
      <c r="Q115" s="348" t="n"/>
      <c r="R115" s="200" t="n"/>
      <c r="S115" s="200" t="n"/>
      <c r="T115" s="200" t="n"/>
      <c r="U115" s="200" t="n"/>
      <c r="V115" s="200" t="n"/>
      <c r="W115" s="69" t="n"/>
      <c r="X115" s="69" t="n"/>
    </row>
    <row r="116" hidden="1" ht="15.75" customHeight="1" s="1">
      <c r="A116" s="340" t="n">
        <v>3</v>
      </c>
      <c r="B116" s="341" t="n"/>
      <c r="C116" s="341" t="n"/>
      <c r="D116" s="342" t="n"/>
      <c r="E116" s="200" t="n"/>
      <c r="F116" s="200" t="n"/>
      <c r="G116" s="200" t="n"/>
      <c r="H116" s="200" t="n"/>
      <c r="I116" s="200" t="n"/>
      <c r="J116" s="200" t="n"/>
      <c r="K116" s="200" t="n"/>
      <c r="L116" s="200" t="n"/>
      <c r="M116" s="346" t="n"/>
      <c r="N116" s="347" t="n"/>
      <c r="O116" s="347" t="n"/>
      <c r="P116" s="348" t="n"/>
      <c r="Q116" s="348" t="n"/>
      <c r="R116" s="200" t="n"/>
      <c r="S116" s="200" t="n"/>
      <c r="T116" s="200" t="n"/>
      <c r="U116" s="200" t="n"/>
      <c r="V116" s="200" t="n"/>
      <c r="W116" s="69" t="n"/>
      <c r="X116" s="69" t="n"/>
    </row>
    <row r="117" hidden="1" ht="15.75" customHeight="1" s="1">
      <c r="A117" s="340" t="n">
        <v>4</v>
      </c>
      <c r="B117" s="341" t="n"/>
      <c r="C117" s="341" t="n"/>
      <c r="D117" s="342" t="n"/>
      <c r="E117" s="200" t="n"/>
      <c r="F117" s="200" t="n"/>
      <c r="G117" s="200" t="n"/>
      <c r="H117" s="200" t="n"/>
      <c r="I117" s="200" t="n"/>
      <c r="J117" s="200" t="n"/>
      <c r="K117" s="200" t="n"/>
      <c r="L117" s="200" t="n"/>
      <c r="M117" s="346" t="n"/>
      <c r="N117" s="347" t="n"/>
      <c r="O117" s="347" t="n"/>
      <c r="P117" s="348" t="n"/>
      <c r="Q117" s="348" t="n"/>
      <c r="R117" s="200" t="n"/>
      <c r="S117" s="200" t="n"/>
      <c r="T117" s="200" t="n"/>
      <c r="U117" s="200" t="n"/>
      <c r="V117" s="200" t="n"/>
      <c r="W117" s="69" t="n"/>
      <c r="X117" s="69" t="n"/>
    </row>
    <row r="118" hidden="1" ht="15.75" customHeight="1" s="1">
      <c r="A118" s="340" t="n">
        <v>5</v>
      </c>
      <c r="B118" s="341" t="n"/>
      <c r="C118" s="341" t="n"/>
      <c r="D118" s="342" t="n"/>
      <c r="E118" s="200" t="n"/>
      <c r="F118" s="200" t="n"/>
      <c r="G118" s="200" t="n"/>
      <c r="H118" s="200" t="n"/>
      <c r="I118" s="200" t="n"/>
      <c r="J118" s="200" t="n"/>
      <c r="K118" s="200" t="n"/>
      <c r="L118" s="200" t="n"/>
      <c r="M118" s="346" t="n"/>
      <c r="N118" s="347" t="n"/>
      <c r="O118" s="347" t="n"/>
      <c r="P118" s="348" t="n"/>
      <c r="Q118" s="348" t="n"/>
      <c r="R118" s="200" t="n"/>
      <c r="S118" s="200" t="n"/>
      <c r="T118" s="200" t="n"/>
      <c r="U118" s="200" t="n"/>
      <c r="V118" s="200" t="n"/>
      <c r="W118" s="69" t="n"/>
      <c r="X118" s="69" t="n"/>
    </row>
    <row r="119" hidden="1" ht="15.75" customHeight="1" s="1">
      <c r="A119" s="340" t="n">
        <v>6</v>
      </c>
      <c r="B119" s="341" t="n"/>
      <c r="C119" s="341" t="n"/>
      <c r="D119" s="342" t="n"/>
      <c r="E119" s="200" t="n"/>
      <c r="F119" s="200" t="n"/>
      <c r="G119" s="200" t="n"/>
      <c r="H119" s="200" t="n"/>
      <c r="I119" s="200" t="n"/>
      <c r="J119" s="200" t="n"/>
      <c r="K119" s="200" t="n"/>
      <c r="L119" s="200" t="n"/>
      <c r="M119" s="346" t="n"/>
      <c r="N119" s="347" t="n"/>
      <c r="O119" s="347" t="n"/>
      <c r="P119" s="348" t="n"/>
      <c r="Q119" s="348" t="n"/>
      <c r="R119" s="200" t="n"/>
      <c r="S119" s="200" t="n"/>
      <c r="T119" s="200" t="n"/>
      <c r="U119" s="200" t="n"/>
      <c r="V119" s="200" t="n"/>
      <c r="W119" s="69" t="n"/>
      <c r="X119" s="69" t="n"/>
    </row>
    <row r="120" hidden="1" ht="15.75" customHeight="1" s="1">
      <c r="A120" s="340" t="n">
        <v>7</v>
      </c>
      <c r="B120" s="341" t="n"/>
      <c r="C120" s="341" t="n"/>
      <c r="D120" s="342" t="n"/>
      <c r="E120" s="200" t="n"/>
      <c r="F120" s="200" t="n"/>
      <c r="G120" s="200" t="n"/>
      <c r="H120" s="200" t="n"/>
      <c r="I120" s="200" t="n"/>
      <c r="J120" s="200" t="n"/>
      <c r="K120" s="200" t="n"/>
      <c r="L120" s="200" t="n"/>
      <c r="M120" s="346" t="n"/>
      <c r="N120" s="347" t="n"/>
      <c r="O120" s="347" t="n"/>
      <c r="P120" s="348" t="n"/>
      <c r="Q120" s="348" t="n"/>
      <c r="R120" s="200" t="n"/>
      <c r="S120" s="200" t="n"/>
      <c r="T120" s="200" t="n"/>
      <c r="U120" s="200" t="n"/>
      <c r="V120" s="200" t="n"/>
      <c r="W120" s="69" t="n"/>
      <c r="X120" s="69" t="n"/>
    </row>
    <row r="121" hidden="1" ht="15.75" customHeight="1" s="1">
      <c r="A121" s="340" t="n">
        <v>8</v>
      </c>
      <c r="B121" s="341" t="n"/>
      <c r="C121" s="341" t="n"/>
      <c r="D121" s="342" t="n"/>
      <c r="E121" s="200" t="n"/>
      <c r="F121" s="200" t="n"/>
      <c r="G121" s="200" t="n"/>
      <c r="H121" s="200" t="n"/>
      <c r="I121" s="200" t="n"/>
      <c r="J121" s="200" t="n"/>
      <c r="K121" s="200" t="n"/>
      <c r="L121" s="200" t="n"/>
      <c r="M121" s="346" t="n"/>
      <c r="N121" s="347" t="n"/>
      <c r="O121" s="347" t="n"/>
      <c r="P121" s="348" t="n"/>
      <c r="Q121" s="348" t="n"/>
      <c r="R121" s="200" t="n"/>
      <c r="S121" s="200" t="n"/>
      <c r="T121" s="200" t="n"/>
      <c r="U121" s="200" t="n"/>
      <c r="V121" s="200" t="n"/>
      <c r="W121" s="69" t="n"/>
      <c r="X121" s="69" t="n"/>
    </row>
    <row r="122" hidden="1" ht="15.75" customHeight="1" s="1">
      <c r="A122" s="340" t="n">
        <v>9</v>
      </c>
      <c r="B122" s="341" t="n"/>
      <c r="C122" s="341" t="n"/>
      <c r="D122" s="342" t="n"/>
      <c r="E122" s="200" t="n"/>
      <c r="F122" s="200" t="n"/>
      <c r="G122" s="200" t="n"/>
      <c r="H122" s="200" t="n"/>
      <c r="I122" s="200" t="n"/>
      <c r="J122" s="200" t="n"/>
      <c r="K122" s="200" t="n"/>
      <c r="L122" s="200" t="n"/>
      <c r="M122" s="346" t="n"/>
      <c r="N122" s="347" t="n"/>
      <c r="O122" s="347" t="n"/>
      <c r="P122" s="348" t="n"/>
      <c r="Q122" s="348" t="n"/>
      <c r="R122" s="200" t="n"/>
      <c r="S122" s="200" t="n"/>
      <c r="T122" s="200" t="n"/>
      <c r="U122" s="200" t="n"/>
      <c r="V122" s="200" t="n"/>
      <c r="W122" s="69" t="n"/>
      <c r="X122" s="69" t="n"/>
    </row>
    <row r="123" hidden="1" ht="15.75" customHeight="1" s="1">
      <c r="A123" s="340" t="n">
        <v>10</v>
      </c>
      <c r="B123" s="341" t="n"/>
      <c r="C123" s="341" t="n"/>
      <c r="D123" s="342" t="n"/>
      <c r="E123" s="200" t="n"/>
      <c r="F123" s="200" t="n"/>
      <c r="G123" s="200" t="n"/>
      <c r="H123" s="200" t="n"/>
      <c r="I123" s="200" t="n"/>
      <c r="J123" s="200" t="n"/>
      <c r="K123" s="200" t="n"/>
      <c r="L123" s="200" t="n"/>
      <c r="M123" s="346" t="n"/>
      <c r="N123" s="347" t="n"/>
      <c r="O123" s="347" t="n"/>
      <c r="P123" s="348" t="n"/>
      <c r="Q123" s="348" t="n"/>
      <c r="R123" s="200" t="n"/>
      <c r="S123" s="200" t="n"/>
      <c r="T123" s="200" t="n"/>
      <c r="U123" s="200" t="n"/>
      <c r="V123" s="200" t="n"/>
      <c r="W123" s="69" t="n"/>
      <c r="X123" s="69" t="n"/>
    </row>
    <row r="124" hidden="1" ht="15.75" customHeight="1" s="1">
      <c r="A124" s="340" t="n">
        <v>11</v>
      </c>
      <c r="B124" s="341" t="n"/>
      <c r="C124" s="341" t="n"/>
      <c r="D124" s="342" t="n"/>
      <c r="E124" s="200" t="n"/>
      <c r="F124" s="200" t="n"/>
      <c r="G124" s="200" t="n"/>
      <c r="H124" s="200" t="n"/>
      <c r="I124" s="200" t="n"/>
      <c r="J124" s="200" t="n"/>
      <c r="K124" s="200" t="n"/>
      <c r="L124" s="200" t="n"/>
      <c r="M124" s="346" t="n"/>
      <c r="N124" s="347" t="n"/>
      <c r="O124" s="347" t="n"/>
      <c r="P124" s="348" t="n"/>
      <c r="Q124" s="348" t="n"/>
      <c r="R124" s="200" t="n"/>
      <c r="S124" s="200" t="n"/>
      <c r="T124" s="200" t="n"/>
      <c r="U124" s="200" t="n"/>
      <c r="V124" s="200" t="n"/>
      <c r="W124" s="69" t="n"/>
      <c r="X124" s="69" t="n"/>
    </row>
    <row r="125" hidden="1" ht="15.75" customHeight="1" s="1">
      <c r="A125" s="340" t="n">
        <v>12</v>
      </c>
      <c r="B125" s="341" t="n"/>
      <c r="C125" s="341" t="n"/>
      <c r="D125" s="342" t="n"/>
      <c r="E125" s="200" t="n"/>
      <c r="F125" s="200" t="n"/>
      <c r="G125" s="200" t="n"/>
      <c r="H125" s="200" t="n"/>
      <c r="I125" s="200" t="n"/>
      <c r="J125" s="200" t="n"/>
      <c r="K125" s="200" t="n"/>
      <c r="L125" s="200" t="n"/>
      <c r="M125" s="346" t="n"/>
      <c r="N125" s="347" t="n"/>
      <c r="O125" s="347" t="n"/>
      <c r="P125" s="348" t="n"/>
      <c r="Q125" s="348" t="n"/>
      <c r="R125" s="200" t="n"/>
      <c r="S125" s="200" t="n"/>
      <c r="T125" s="200" t="n"/>
      <c r="U125" s="200" t="n"/>
      <c r="V125" s="200" t="n"/>
      <c r="W125" s="69" t="n"/>
      <c r="X125" s="69" t="n"/>
    </row>
    <row r="126" hidden="1" ht="15.75" customHeight="1" s="1">
      <c r="A126" s="340" t="n">
        <v>13</v>
      </c>
      <c r="B126" s="341" t="n"/>
      <c r="C126" s="341" t="n"/>
      <c r="D126" s="342" t="n"/>
      <c r="E126" s="200" t="n"/>
      <c r="F126" s="200" t="n"/>
      <c r="G126" s="200" t="n"/>
      <c r="H126" s="200" t="n"/>
      <c r="I126" s="200" t="n"/>
      <c r="J126" s="200" t="n"/>
      <c r="K126" s="200" t="n"/>
      <c r="L126" s="200" t="n"/>
      <c r="M126" s="346" t="n"/>
      <c r="N126" s="347" t="n"/>
      <c r="O126" s="347" t="n"/>
      <c r="P126" s="348" t="n"/>
      <c r="Q126" s="348" t="n"/>
      <c r="R126" s="200" t="n"/>
      <c r="S126" s="200" t="n"/>
      <c r="T126" s="200" t="n"/>
      <c r="U126" s="200" t="n"/>
      <c r="V126" s="200" t="n"/>
      <c r="W126" s="69" t="n"/>
      <c r="X126" s="69" t="n"/>
    </row>
    <row r="127" hidden="1" ht="15.75" customHeight="1" s="1">
      <c r="A127" s="340" t="n">
        <v>14</v>
      </c>
      <c r="B127" s="341" t="n"/>
      <c r="C127" s="341" t="n"/>
      <c r="D127" s="342" t="n"/>
      <c r="E127" s="200" t="n"/>
      <c r="F127" s="200" t="n"/>
      <c r="G127" s="200" t="n"/>
      <c r="H127" s="200" t="n"/>
      <c r="I127" s="200" t="n"/>
      <c r="J127" s="200" t="n"/>
      <c r="K127" s="200" t="n"/>
      <c r="L127" s="200" t="n"/>
      <c r="M127" s="346" t="n"/>
      <c r="N127" s="347" t="n"/>
      <c r="O127" s="347" t="n"/>
      <c r="P127" s="348" t="n"/>
      <c r="Q127" s="348" t="n"/>
      <c r="R127" s="200" t="n"/>
      <c r="S127" s="200" t="n"/>
      <c r="T127" s="200" t="n"/>
      <c r="U127" s="200" t="n"/>
      <c r="V127" s="200" t="n"/>
      <c r="W127" s="69" t="n"/>
      <c r="X127" s="69" t="n"/>
    </row>
    <row r="128" hidden="1" ht="15.75" customHeight="1" s="1">
      <c r="A128" s="340" t="n">
        <v>15</v>
      </c>
      <c r="B128" s="341" t="n"/>
      <c r="C128" s="341" t="n"/>
      <c r="D128" s="342" t="n"/>
      <c r="E128" s="200" t="n"/>
      <c r="F128" s="200" t="n"/>
      <c r="G128" s="200" t="n"/>
      <c r="H128" s="200" t="n"/>
      <c r="I128" s="200" t="n"/>
      <c r="J128" s="200" t="n"/>
      <c r="K128" s="200" t="n"/>
      <c r="L128" s="200" t="n"/>
      <c r="M128" s="346" t="n"/>
      <c r="N128" s="347" t="n"/>
      <c r="O128" s="347" t="n"/>
      <c r="P128" s="348" t="n"/>
      <c r="Q128" s="348" t="n"/>
      <c r="R128" s="200" t="n"/>
      <c r="S128" s="200" t="n"/>
      <c r="T128" s="200" t="n"/>
      <c r="U128" s="200" t="n"/>
      <c r="V128" s="200" t="n"/>
      <c r="W128" s="69" t="n"/>
      <c r="X128" s="69" t="n"/>
    </row>
    <row r="129" hidden="1" ht="15.75" customHeight="1" s="1">
      <c r="A129" s="340" t="n">
        <v>16</v>
      </c>
      <c r="B129" s="341" t="n"/>
      <c r="C129" s="341" t="n"/>
      <c r="D129" s="342" t="n"/>
      <c r="E129" s="200" t="n"/>
      <c r="F129" s="200" t="n"/>
      <c r="G129" s="200" t="n"/>
      <c r="H129" s="200" t="n"/>
      <c r="I129" s="200" t="n"/>
      <c r="J129" s="200" t="n"/>
      <c r="K129" s="200" t="n"/>
      <c r="L129" s="200" t="n"/>
      <c r="M129" s="346" t="n"/>
      <c r="N129" s="347" t="n"/>
      <c r="O129" s="347" t="n"/>
      <c r="P129" s="348" t="n"/>
      <c r="Q129" s="348" t="n"/>
      <c r="R129" s="200" t="n"/>
      <c r="S129" s="200" t="n"/>
      <c r="T129" s="200" t="n"/>
      <c r="U129" s="200" t="n"/>
      <c r="V129" s="200" t="n"/>
      <c r="W129" s="69" t="n"/>
      <c r="X129" s="69" t="n"/>
    </row>
    <row r="130" hidden="1" ht="15.75" customHeight="1" s="1">
      <c r="A130" s="340" t="n">
        <v>17</v>
      </c>
      <c r="B130" s="341" t="n"/>
      <c r="C130" s="341" t="n"/>
      <c r="D130" s="342" t="n"/>
      <c r="E130" s="200" t="n"/>
      <c r="F130" s="200" t="n"/>
      <c r="G130" s="200" t="n"/>
      <c r="H130" s="200" t="n"/>
      <c r="I130" s="200" t="n"/>
      <c r="J130" s="200" t="n"/>
      <c r="K130" s="200" t="n"/>
      <c r="L130" s="200" t="n"/>
      <c r="M130" s="349" t="n"/>
      <c r="N130" s="347" t="n"/>
      <c r="O130" s="347" t="n"/>
      <c r="P130" s="348" t="n"/>
      <c r="Q130" s="348" t="n"/>
      <c r="R130" s="200" t="n"/>
      <c r="S130" s="200" t="n"/>
      <c r="T130" s="200" t="n"/>
      <c r="U130" s="200" t="n"/>
      <c r="V130" s="200" t="n"/>
      <c r="W130" s="69" t="n"/>
      <c r="X130" s="69" t="n"/>
    </row>
    <row r="131" hidden="1" ht="15.75" customHeight="1" s="1">
      <c r="A131" s="340" t="n">
        <v>18</v>
      </c>
      <c r="B131" s="341" t="n"/>
      <c r="C131" s="341" t="n"/>
      <c r="D131" s="342" t="n"/>
      <c r="E131" s="200" t="n"/>
      <c r="F131" s="200" t="n"/>
      <c r="G131" s="200" t="n"/>
      <c r="H131" s="200" t="n"/>
      <c r="I131" s="200" t="n"/>
      <c r="J131" s="200" t="n"/>
      <c r="K131" s="200" t="n"/>
      <c r="L131" s="200" t="n"/>
      <c r="M131" s="349" t="n"/>
      <c r="N131" s="347" t="n"/>
      <c r="O131" s="347" t="n"/>
      <c r="P131" s="348" t="n"/>
      <c r="Q131" s="348" t="n"/>
      <c r="R131" s="200" t="n"/>
      <c r="S131" s="200" t="n"/>
      <c r="T131" s="200" t="n"/>
      <c r="U131" s="200" t="n"/>
      <c r="V131" s="200" t="n"/>
      <c r="W131" s="69" t="n"/>
      <c r="X131" s="69" t="n"/>
    </row>
    <row r="132" hidden="1" ht="15.75" customHeight="1" s="1">
      <c r="A132" s="340" t="n">
        <v>19</v>
      </c>
      <c r="B132" s="341" t="n"/>
      <c r="C132" s="341" t="n"/>
      <c r="D132" s="342" t="n"/>
      <c r="E132" s="200" t="n"/>
      <c r="F132" s="200" t="n"/>
      <c r="G132" s="200" t="n"/>
      <c r="H132" s="200" t="n"/>
      <c r="I132" s="200" t="n"/>
      <c r="J132" s="200" t="n"/>
      <c r="K132" s="200" t="n"/>
      <c r="L132" s="200" t="n"/>
      <c r="M132" s="349" t="n"/>
      <c r="N132" s="347" t="n"/>
      <c r="O132" s="347" t="n"/>
      <c r="P132" s="348" t="n"/>
      <c r="Q132" s="348" t="n"/>
      <c r="R132" s="200" t="n"/>
      <c r="S132" s="200" t="n"/>
      <c r="T132" s="200" t="n"/>
      <c r="U132" s="200" t="n"/>
      <c r="V132" s="200" t="n"/>
      <c r="W132" s="69" t="n"/>
      <c r="X132" s="69" t="n"/>
    </row>
    <row r="133" hidden="1" ht="15.75" customHeight="1" s="1">
      <c r="A133" s="340" t="n">
        <v>20</v>
      </c>
      <c r="B133" s="341" t="n"/>
      <c r="C133" s="341" t="n"/>
      <c r="D133" s="342" t="n"/>
      <c r="E133" s="200" t="n"/>
      <c r="F133" s="200" t="n"/>
      <c r="G133" s="200" t="n"/>
      <c r="H133" s="200" t="n"/>
      <c r="I133" s="200" t="n"/>
      <c r="J133" s="200" t="n"/>
      <c r="K133" s="200" t="n"/>
      <c r="L133" s="200" t="n"/>
      <c r="M133" s="349" t="n"/>
      <c r="N133" s="347" t="n"/>
      <c r="O133" s="347" t="n"/>
      <c r="P133" s="348" t="n"/>
      <c r="Q133" s="348" t="n"/>
      <c r="R133" s="200" t="n"/>
      <c r="S133" s="200" t="n"/>
      <c r="T133" s="200" t="n"/>
      <c r="U133" s="200" t="n"/>
      <c r="V133" s="200" t="n"/>
      <c r="W133" s="69" t="n"/>
      <c r="X133" s="69" t="n"/>
    </row>
    <row r="134" hidden="1" ht="15.75" customHeight="1" s="1">
      <c r="A134" s="340" t="n">
        <v>21</v>
      </c>
      <c r="B134" s="341" t="n"/>
      <c r="C134" s="341" t="n"/>
      <c r="D134" s="342" t="n"/>
      <c r="E134" s="200" t="n"/>
      <c r="F134" s="200" t="n"/>
      <c r="G134" s="200" t="n"/>
      <c r="H134" s="200" t="n"/>
      <c r="I134" s="200" t="n"/>
      <c r="J134" s="200" t="n"/>
      <c r="K134" s="200" t="n"/>
      <c r="L134" s="200" t="n"/>
      <c r="M134" s="349" t="n"/>
      <c r="N134" s="347" t="n"/>
      <c r="O134" s="347" t="n"/>
      <c r="P134" s="348" t="n"/>
      <c r="Q134" s="348" t="n"/>
      <c r="R134" s="200" t="n"/>
      <c r="S134" s="200" t="n"/>
      <c r="T134" s="200" t="n"/>
      <c r="U134" s="200" t="n"/>
      <c r="V134" s="200" t="n"/>
      <c r="W134" s="69" t="n"/>
      <c r="X134" s="69" t="n"/>
    </row>
    <row r="135" hidden="1" ht="15.75" customHeight="1" s="1">
      <c r="A135" s="340" t="n">
        <v>22</v>
      </c>
      <c r="B135" s="341" t="n"/>
      <c r="C135" s="341" t="n"/>
      <c r="D135" s="342" t="n"/>
      <c r="E135" s="200" t="n"/>
      <c r="F135" s="200" t="n"/>
      <c r="G135" s="200" t="n"/>
      <c r="H135" s="200" t="n"/>
      <c r="I135" s="200" t="n"/>
      <c r="J135" s="200" t="n"/>
      <c r="K135" s="200" t="n"/>
      <c r="L135" s="200" t="n"/>
      <c r="M135" s="349" t="n"/>
      <c r="N135" s="347" t="n"/>
      <c r="O135" s="347" t="n"/>
      <c r="P135" s="348" t="n"/>
      <c r="Q135" s="348" t="n"/>
      <c r="R135" s="200" t="n"/>
      <c r="S135" s="200" t="n"/>
      <c r="T135" s="200" t="n"/>
      <c r="U135" s="200" t="n"/>
      <c r="V135" s="200" t="n"/>
      <c r="W135" s="69" t="n"/>
      <c r="X135" s="69" t="n"/>
    </row>
    <row r="136" hidden="1" ht="15.75" customHeight="1" s="1">
      <c r="A136" s="340" t="n">
        <v>23</v>
      </c>
      <c r="B136" s="341" t="n"/>
      <c r="C136" s="341" t="n"/>
      <c r="D136" s="342" t="n"/>
      <c r="E136" s="200" t="n"/>
      <c r="F136" s="200" t="n"/>
      <c r="G136" s="200" t="n"/>
      <c r="H136" s="200" t="n"/>
      <c r="I136" s="200" t="n"/>
      <c r="J136" s="200" t="n"/>
      <c r="K136" s="200" t="n"/>
      <c r="L136" s="200" t="n"/>
      <c r="M136" s="349" t="n"/>
      <c r="N136" s="347" t="n"/>
      <c r="O136" s="347" t="n"/>
      <c r="P136" s="348" t="n"/>
      <c r="Q136" s="348" t="n"/>
      <c r="R136" s="200" t="n"/>
      <c r="S136" s="200" t="n"/>
      <c r="T136" s="200" t="n"/>
      <c r="U136" s="200" t="n"/>
      <c r="V136" s="200" t="n"/>
      <c r="W136" s="69" t="n"/>
      <c r="X136" s="69" t="n"/>
    </row>
    <row r="137" hidden="1" ht="15.75" customHeight="1" s="1">
      <c r="A137" s="340" t="n">
        <v>24</v>
      </c>
      <c r="B137" s="341" t="n"/>
      <c r="C137" s="341" t="n"/>
      <c r="D137" s="342" t="n"/>
      <c r="E137" s="200" t="n"/>
      <c r="F137" s="200" t="n"/>
      <c r="G137" s="200" t="n"/>
      <c r="H137" s="200" t="n"/>
      <c r="I137" s="200" t="n"/>
      <c r="J137" s="200" t="n"/>
      <c r="K137" s="200" t="n"/>
      <c r="L137" s="200" t="n"/>
      <c r="M137" s="349" t="n"/>
      <c r="N137" s="347" t="n"/>
      <c r="O137" s="347" t="n"/>
      <c r="P137" s="348" t="n"/>
      <c r="Q137" s="348" t="n"/>
      <c r="R137" s="200" t="n"/>
      <c r="S137" s="200" t="n"/>
      <c r="T137" s="200" t="n"/>
      <c r="U137" s="200" t="n"/>
      <c r="V137" s="200" t="n"/>
      <c r="W137" s="69" t="n"/>
      <c r="X137" s="69" t="n"/>
    </row>
    <row r="138" hidden="1" ht="15.75" customHeight="1" s="1">
      <c r="A138" s="340" t="n">
        <v>25</v>
      </c>
      <c r="B138" s="341" t="n"/>
      <c r="C138" s="341" t="n"/>
      <c r="D138" s="342" t="n"/>
      <c r="E138" s="200" t="n"/>
      <c r="F138" s="200" t="n"/>
      <c r="G138" s="200" t="n"/>
      <c r="H138" s="200" t="n"/>
      <c r="I138" s="200" t="n"/>
      <c r="J138" s="200" t="n"/>
      <c r="K138" s="200" t="n"/>
      <c r="L138" s="200" t="n"/>
      <c r="M138" s="349" t="n"/>
      <c r="N138" s="347" t="n"/>
      <c r="O138" s="347" t="n"/>
      <c r="P138" s="348" t="n"/>
      <c r="Q138" s="348" t="n"/>
      <c r="R138" s="200" t="n"/>
      <c r="S138" s="200" t="n"/>
      <c r="T138" s="200" t="n"/>
      <c r="U138" s="200" t="n"/>
      <c r="V138" s="200" t="n"/>
      <c r="W138" s="69" t="n"/>
      <c r="X138" s="69" t="n"/>
    </row>
    <row r="139" hidden="1" ht="15.75" customHeight="1" s="1">
      <c r="A139" s="340" t="n">
        <v>26</v>
      </c>
      <c r="B139" s="341" t="n"/>
      <c r="C139" s="341" t="n"/>
      <c r="D139" s="342" t="n"/>
      <c r="E139" s="200" t="n"/>
      <c r="F139" s="200" t="n"/>
      <c r="G139" s="200" t="n"/>
      <c r="H139" s="200" t="n"/>
      <c r="I139" s="200" t="n"/>
      <c r="J139" s="200" t="n"/>
      <c r="K139" s="200" t="n"/>
      <c r="L139" s="200" t="n"/>
      <c r="M139" s="349" t="n"/>
      <c r="N139" s="347" t="n"/>
      <c r="O139" s="347" t="n"/>
      <c r="P139" s="348" t="n"/>
      <c r="Q139" s="348" t="n"/>
      <c r="R139" s="200" t="n"/>
      <c r="S139" s="200" t="n"/>
      <c r="T139" s="200" t="n"/>
      <c r="U139" s="200" t="n"/>
      <c r="V139" s="200" t="n"/>
      <c r="W139" s="69" t="n"/>
      <c r="X139" s="69" t="n"/>
    </row>
    <row r="140" hidden="1" ht="15.75" customHeight="1" s="1">
      <c r="A140" s="340" t="n">
        <v>27</v>
      </c>
      <c r="B140" s="341" t="n"/>
      <c r="C140" s="341" t="n"/>
      <c r="D140" s="342" t="n"/>
      <c r="E140" s="200" t="n"/>
      <c r="F140" s="200" t="n"/>
      <c r="G140" s="200" t="n"/>
      <c r="H140" s="200" t="n"/>
      <c r="I140" s="200" t="n"/>
      <c r="J140" s="200" t="n"/>
      <c r="K140" s="200" t="n"/>
      <c r="L140" s="200" t="n"/>
      <c r="M140" s="349" t="n"/>
      <c r="N140" s="347" t="n"/>
      <c r="O140" s="347" t="n"/>
      <c r="P140" s="348" t="n"/>
      <c r="Q140" s="348" t="n"/>
      <c r="R140" s="200" t="n"/>
      <c r="S140" s="200" t="n"/>
      <c r="T140" s="200" t="n"/>
      <c r="U140" s="200" t="n"/>
      <c r="V140" s="200" t="n"/>
      <c r="W140" s="69" t="n"/>
      <c r="X140" s="69" t="n"/>
    </row>
    <row r="141" hidden="1" ht="15.75" customHeight="1" s="1">
      <c r="A141" s="340" t="n">
        <v>28</v>
      </c>
      <c r="B141" s="341" t="n"/>
      <c r="C141" s="341" t="n"/>
      <c r="D141" s="342" t="n"/>
      <c r="E141" s="200" t="n"/>
      <c r="F141" s="200" t="n"/>
      <c r="G141" s="200" t="n"/>
      <c r="H141" s="200" t="n"/>
      <c r="I141" s="200" t="n"/>
      <c r="J141" s="200" t="n"/>
      <c r="K141" s="200" t="n"/>
      <c r="L141" s="200" t="n"/>
      <c r="M141" s="349" t="n"/>
      <c r="N141" s="347" t="n"/>
      <c r="O141" s="347" t="n"/>
      <c r="P141" s="348" t="n"/>
      <c r="Q141" s="348" t="n"/>
      <c r="R141" s="200" t="n"/>
      <c r="S141" s="200" t="n"/>
      <c r="T141" s="200" t="n"/>
      <c r="U141" s="200" t="n"/>
      <c r="V141" s="200" t="n"/>
      <c r="W141" s="69" t="n"/>
      <c r="X141" s="69" t="n"/>
    </row>
    <row r="142" hidden="1" ht="15.75" customHeight="1" s="1">
      <c r="A142" s="340" t="n">
        <v>29</v>
      </c>
      <c r="B142" s="341" t="n"/>
      <c r="C142" s="341" t="n"/>
      <c r="D142" s="342" t="n"/>
      <c r="E142" s="200" t="n"/>
      <c r="F142" s="200" t="n"/>
      <c r="G142" s="200" t="n"/>
      <c r="H142" s="200" t="n"/>
      <c r="I142" s="200" t="n"/>
      <c r="J142" s="200" t="n"/>
      <c r="K142" s="200" t="n"/>
      <c r="L142" s="200" t="n"/>
      <c r="M142" s="349" t="n"/>
      <c r="N142" s="347" t="n"/>
      <c r="O142" s="347" t="n"/>
      <c r="P142" s="348" t="n"/>
      <c r="Q142" s="348" t="n"/>
      <c r="R142" s="200" t="n"/>
      <c r="S142" s="200" t="n"/>
      <c r="T142" s="200" t="n"/>
      <c r="U142" s="200" t="n"/>
      <c r="V142" s="200" t="n"/>
      <c r="W142" s="69" t="n"/>
      <c r="X142" s="69" t="n"/>
    </row>
    <row r="143" hidden="1" ht="15.75" customHeight="1" s="1">
      <c r="A143" s="340" t="n">
        <v>30</v>
      </c>
      <c r="B143" s="341" t="n"/>
      <c r="C143" s="341" t="n"/>
      <c r="D143" s="342" t="n"/>
      <c r="E143" s="200" t="n"/>
      <c r="F143" s="200" t="n"/>
      <c r="G143" s="200" t="n"/>
      <c r="H143" s="200" t="n"/>
      <c r="I143" s="200" t="n"/>
      <c r="J143" s="200" t="n"/>
      <c r="K143" s="200" t="n"/>
      <c r="L143" s="200" t="n"/>
      <c r="M143" s="349" t="n"/>
      <c r="N143" s="347" t="n"/>
      <c r="O143" s="347" t="n"/>
      <c r="P143" s="348" t="n"/>
      <c r="Q143" s="348" t="n"/>
      <c r="R143" s="200" t="n"/>
      <c r="S143" s="200" t="n"/>
      <c r="T143" s="200" t="n"/>
      <c r="U143" s="200" t="n"/>
      <c r="V143" s="200" t="n"/>
      <c r="W143" s="69" t="n"/>
      <c r="X143" s="69" t="n"/>
    </row>
    <row r="144" hidden="1" ht="15.75" customHeight="1" s="1">
      <c r="A144" s="340" t="n">
        <v>31</v>
      </c>
      <c r="B144" s="341" t="n"/>
      <c r="C144" s="341" t="n"/>
      <c r="D144" s="342" t="n"/>
      <c r="E144" s="200" t="n"/>
      <c r="F144" s="200" t="n"/>
      <c r="G144" s="200" t="n"/>
      <c r="H144" s="200" t="n"/>
      <c r="I144" s="200" t="n"/>
      <c r="J144" s="200" t="n"/>
      <c r="K144" s="200" t="n"/>
      <c r="L144" s="200" t="n"/>
      <c r="M144" s="349" t="n"/>
      <c r="N144" s="347" t="n"/>
      <c r="O144" s="347" t="n"/>
      <c r="P144" s="348" t="n"/>
      <c r="Q144" s="348" t="n"/>
      <c r="R144" s="200" t="n"/>
      <c r="S144" s="200" t="n"/>
      <c r="T144" s="200" t="n"/>
      <c r="U144" s="200" t="n"/>
      <c r="V144" s="200" t="n"/>
      <c r="W144" s="69" t="n"/>
      <c r="X144" s="69" t="n"/>
    </row>
    <row r="145" hidden="1" ht="15.75" customHeight="1" s="1">
      <c r="A145" s="340" t="n">
        <v>32</v>
      </c>
      <c r="B145" s="341" t="n"/>
      <c r="C145" s="341" t="n"/>
      <c r="D145" s="342" t="n"/>
      <c r="E145" s="200" t="n"/>
      <c r="F145" s="200" t="n"/>
      <c r="G145" s="200" t="n"/>
      <c r="H145" s="200" t="n"/>
      <c r="I145" s="200" t="n"/>
      <c r="J145" s="200" t="n"/>
      <c r="K145" s="200" t="n"/>
      <c r="L145" s="200" t="n"/>
      <c r="M145" s="349" t="n"/>
      <c r="N145" s="347" t="n"/>
      <c r="O145" s="347" t="n"/>
      <c r="P145" s="348" t="n"/>
      <c r="Q145" s="348" t="n"/>
      <c r="R145" s="200" t="n"/>
      <c r="S145" s="200" t="n"/>
      <c r="T145" s="200" t="n"/>
      <c r="U145" s="200" t="n"/>
      <c r="V145" s="200" t="n"/>
      <c r="W145" s="69" t="n"/>
      <c r="X145" s="69" t="n"/>
    </row>
    <row r="146" hidden="1" ht="15.75" customHeight="1" s="1">
      <c r="A146" s="340" t="n">
        <v>33</v>
      </c>
      <c r="B146" s="341" t="n"/>
      <c r="C146" s="341" t="n"/>
      <c r="D146" s="342" t="n"/>
      <c r="E146" s="200" t="n"/>
      <c r="F146" s="200" t="n"/>
      <c r="G146" s="200" t="n"/>
      <c r="H146" s="200" t="n"/>
      <c r="I146" s="200" t="n"/>
      <c r="J146" s="200" t="n"/>
      <c r="K146" s="200" t="n"/>
      <c r="L146" s="200" t="n"/>
      <c r="M146" s="349" t="n"/>
      <c r="N146" s="347" t="n"/>
      <c r="O146" s="347" t="n"/>
      <c r="P146" s="348" t="n"/>
      <c r="Q146" s="348" t="n"/>
      <c r="R146" s="200" t="n"/>
      <c r="S146" s="200" t="n"/>
      <c r="T146" s="200" t="n"/>
      <c r="U146" s="200" t="n"/>
      <c r="V146" s="200" t="n"/>
      <c r="W146" s="69" t="n"/>
      <c r="X146" s="69" t="n"/>
    </row>
    <row r="147" hidden="1" ht="15.75" customHeight="1" s="1">
      <c r="A147" s="340" t="n">
        <v>34</v>
      </c>
      <c r="B147" s="341" t="n"/>
      <c r="C147" s="341" t="n"/>
      <c r="D147" s="342" t="n"/>
      <c r="E147" s="200" t="n"/>
      <c r="F147" s="200" t="n"/>
      <c r="G147" s="200" t="n"/>
      <c r="H147" s="200" t="n"/>
      <c r="I147" s="200" t="n"/>
      <c r="J147" s="200" t="n"/>
      <c r="K147" s="200" t="n"/>
      <c r="L147" s="200" t="n"/>
      <c r="M147" s="349" t="n"/>
      <c r="N147" s="347" t="n"/>
      <c r="O147" s="347" t="n"/>
      <c r="P147" s="348" t="n"/>
      <c r="Q147" s="348" t="n"/>
      <c r="R147" s="200" t="n"/>
      <c r="S147" s="200" t="n"/>
      <c r="T147" s="200" t="n"/>
      <c r="U147" s="200" t="n"/>
      <c r="V147" s="200" t="n"/>
      <c r="W147" s="69" t="n"/>
      <c r="X147" s="69" t="n"/>
    </row>
    <row r="148" hidden="1" ht="15.75" customHeight="1" s="1">
      <c r="A148" s="340" t="n">
        <v>35</v>
      </c>
      <c r="B148" s="341" t="n"/>
      <c r="C148" s="341" t="n"/>
      <c r="D148" s="342" t="n"/>
      <c r="E148" s="200" t="n"/>
      <c r="F148" s="200" t="n"/>
      <c r="G148" s="200" t="n"/>
      <c r="H148" s="200" t="n"/>
      <c r="I148" s="200" t="n"/>
      <c r="J148" s="200" t="n"/>
      <c r="K148" s="200" t="n"/>
      <c r="L148" s="200" t="n"/>
      <c r="M148" s="349" t="n"/>
      <c r="N148" s="347" t="n"/>
      <c r="O148" s="347" t="n"/>
      <c r="P148" s="348" t="n"/>
      <c r="Q148" s="348" t="n"/>
      <c r="R148" s="200" t="n"/>
      <c r="S148" s="200" t="n"/>
      <c r="T148" s="200" t="n"/>
      <c r="U148" s="200" t="n"/>
      <c r="V148" s="200" t="n"/>
      <c r="W148" s="69" t="n"/>
      <c r="X148" s="69" t="n"/>
    </row>
    <row r="149" hidden="1" ht="15.75" customHeight="1" s="1">
      <c r="A149" s="340" t="n">
        <v>36</v>
      </c>
      <c r="B149" s="341" t="n"/>
      <c r="C149" s="341" t="n"/>
      <c r="D149" s="342" t="n"/>
      <c r="E149" s="200" t="n"/>
      <c r="F149" s="200" t="n"/>
      <c r="G149" s="200" t="n"/>
      <c r="H149" s="200" t="n"/>
      <c r="I149" s="200" t="n"/>
      <c r="J149" s="200" t="n"/>
      <c r="K149" s="200" t="n"/>
      <c r="L149" s="200" t="n"/>
      <c r="M149" s="349" t="n"/>
      <c r="N149" s="347" t="n"/>
      <c r="O149" s="347" t="n"/>
      <c r="P149" s="350" t="n"/>
      <c r="Q149" s="348" t="n"/>
      <c r="R149" s="200" t="n"/>
      <c r="S149" s="200" t="n"/>
      <c r="T149" s="200" t="n"/>
      <c r="U149" s="200" t="n"/>
      <c r="V149" s="200" t="n"/>
      <c r="W149" s="69" t="n"/>
      <c r="X149" s="69" t="n"/>
    </row>
    <row r="150" hidden="1" ht="15.75" customHeight="1" s="1">
      <c r="A150" s="340" t="n">
        <v>37</v>
      </c>
      <c r="B150" s="341" t="n"/>
      <c r="C150" s="341" t="n"/>
      <c r="D150" s="342" t="n"/>
      <c r="E150" s="200" t="n"/>
      <c r="F150" s="200" t="n"/>
      <c r="G150" s="200" t="n"/>
      <c r="H150" s="200" t="n"/>
      <c r="I150" s="200" t="n"/>
      <c r="J150" s="200" t="n"/>
      <c r="K150" s="200" t="n"/>
      <c r="L150" s="200" t="n"/>
      <c r="M150" s="351" t="n"/>
      <c r="N150" s="347" t="n"/>
      <c r="O150" s="347" t="n"/>
      <c r="P150" s="350" t="n"/>
      <c r="Q150" s="348" t="n"/>
      <c r="R150" s="200" t="n"/>
      <c r="S150" s="200" t="n"/>
      <c r="T150" s="200" t="n"/>
      <c r="U150" s="200" t="n"/>
      <c r="V150" s="200" t="n"/>
      <c r="W150" s="69" t="n"/>
      <c r="X150" s="69" t="n"/>
    </row>
    <row r="151" hidden="1" ht="15.75" customHeight="1" s="1">
      <c r="A151" s="340" t="n">
        <v>38</v>
      </c>
      <c r="B151" s="341" t="n"/>
      <c r="C151" s="341" t="n"/>
      <c r="D151" s="342" t="n"/>
      <c r="E151" s="200" t="n"/>
      <c r="F151" s="200" t="n"/>
      <c r="G151" s="200" t="n"/>
      <c r="H151" s="200" t="n"/>
      <c r="I151" s="200" t="n"/>
      <c r="J151" s="200" t="n"/>
      <c r="K151" s="200" t="n"/>
      <c r="L151" s="200" t="n"/>
      <c r="M151" s="351" t="n"/>
      <c r="N151" s="347" t="n"/>
      <c r="O151" s="347" t="n"/>
      <c r="P151" s="350" t="n"/>
      <c r="Q151" s="348" t="n"/>
      <c r="R151" s="200" t="n"/>
      <c r="S151" s="200" t="n"/>
      <c r="T151" s="200" t="n"/>
      <c r="U151" s="200" t="n"/>
      <c r="V151" s="200" t="n"/>
      <c r="W151" s="69" t="n"/>
      <c r="X151" s="69" t="n"/>
    </row>
    <row r="152" hidden="1" ht="15.75" customHeight="1" s="1">
      <c r="A152" s="340" t="n">
        <v>39</v>
      </c>
      <c r="B152" s="341" t="n"/>
      <c r="C152" s="341" t="n"/>
      <c r="D152" s="342" t="n"/>
      <c r="E152" s="200" t="n"/>
      <c r="F152" s="200" t="n"/>
      <c r="G152" s="200" t="n"/>
      <c r="H152" s="200" t="n"/>
      <c r="I152" s="200" t="n"/>
      <c r="J152" s="200" t="n"/>
      <c r="K152" s="200" t="n"/>
      <c r="L152" s="200" t="n"/>
      <c r="M152" s="351" t="n"/>
      <c r="N152" s="347" t="n"/>
      <c r="O152" s="347" t="n"/>
      <c r="P152" s="350" t="n"/>
      <c r="Q152" s="348" t="n"/>
      <c r="R152" s="200" t="n"/>
      <c r="S152" s="200" t="n"/>
      <c r="T152" s="200" t="n"/>
      <c r="U152" s="200" t="n"/>
      <c r="V152" s="200" t="n"/>
      <c r="W152" s="69" t="n"/>
      <c r="X152" s="69" t="n"/>
    </row>
    <row r="153" hidden="1" ht="15.75" customHeight="1" s="1">
      <c r="A153" s="340" t="n">
        <v>40</v>
      </c>
      <c r="B153" s="341" t="n"/>
      <c r="C153" s="341" t="n"/>
      <c r="D153" s="342" t="n"/>
      <c r="E153" s="200" t="n"/>
      <c r="F153" s="200" t="n"/>
      <c r="G153" s="200" t="n"/>
      <c r="H153" s="200" t="n"/>
      <c r="I153" s="200" t="n"/>
      <c r="J153" s="200" t="n"/>
      <c r="K153" s="200" t="n"/>
      <c r="L153" s="200" t="n"/>
      <c r="M153" s="351" t="n"/>
      <c r="N153" s="347" t="n"/>
      <c r="O153" s="347" t="n"/>
      <c r="P153" s="350" t="n"/>
      <c r="Q153" s="348" t="n"/>
      <c r="R153" s="200" t="n"/>
      <c r="S153" s="200" t="n"/>
      <c r="T153" s="200" t="n"/>
      <c r="U153" s="200" t="n"/>
      <c r="V153" s="200" t="n"/>
      <c r="W153" s="69" t="n"/>
      <c r="X153" s="69" t="n"/>
    </row>
    <row r="154" hidden="1" ht="15.75" customHeight="1" s="1">
      <c r="A154" s="340" t="n">
        <v>41</v>
      </c>
      <c r="B154" s="341" t="n"/>
      <c r="C154" s="341" t="n"/>
      <c r="D154" s="342" t="n"/>
      <c r="E154" s="200" t="n"/>
      <c r="F154" s="200" t="n"/>
      <c r="G154" s="200" t="n"/>
      <c r="H154" s="200" t="n"/>
      <c r="I154" s="200" t="n"/>
      <c r="J154" s="200" t="n"/>
      <c r="K154" s="200" t="n"/>
      <c r="L154" s="200" t="n"/>
      <c r="M154" s="351" t="n"/>
      <c r="N154" s="347" t="n"/>
      <c r="O154" s="347" t="n"/>
      <c r="P154" s="350" t="n"/>
      <c r="Q154" s="348" t="n"/>
      <c r="R154" s="200" t="n"/>
      <c r="S154" s="200" t="n"/>
      <c r="T154" s="200" t="n"/>
      <c r="U154" s="200" t="n"/>
      <c r="V154" s="200" t="n"/>
      <c r="W154" s="69" t="n"/>
      <c r="X154" s="69" t="n"/>
    </row>
    <row r="155" hidden="1" ht="15.75" customHeight="1" s="1">
      <c r="A155" s="340" t="n">
        <v>42</v>
      </c>
      <c r="B155" s="341" t="n"/>
      <c r="C155" s="341" t="n"/>
      <c r="D155" s="342" t="n"/>
      <c r="E155" s="200" t="n"/>
      <c r="F155" s="200" t="n"/>
      <c r="G155" s="200" t="n"/>
      <c r="H155" s="200" t="n"/>
      <c r="I155" s="200" t="n"/>
      <c r="J155" s="200" t="n"/>
      <c r="K155" s="200" t="n"/>
      <c r="L155" s="200" t="n"/>
      <c r="M155" s="351" t="n"/>
      <c r="N155" s="347" t="n"/>
      <c r="O155" s="347" t="n"/>
      <c r="P155" s="350" t="n"/>
      <c r="Q155" s="348" t="n"/>
      <c r="R155" s="200" t="n"/>
      <c r="S155" s="200" t="n"/>
      <c r="T155" s="200" t="n"/>
      <c r="U155" s="200" t="n"/>
      <c r="V155" s="200" t="n"/>
      <c r="W155" s="69" t="n"/>
      <c r="X155" s="69" t="n"/>
    </row>
    <row r="156" hidden="1" ht="15.75" customHeight="1" s="1">
      <c r="A156" s="340" t="n">
        <v>43</v>
      </c>
      <c r="B156" s="341" t="n"/>
      <c r="C156" s="341" t="n"/>
      <c r="D156" s="342" t="n"/>
      <c r="E156" s="200" t="n"/>
      <c r="F156" s="200" t="n"/>
      <c r="G156" s="200" t="n"/>
      <c r="H156" s="200" t="n"/>
      <c r="I156" s="200" t="n"/>
      <c r="J156" s="200" t="n"/>
      <c r="K156" s="200" t="n"/>
      <c r="L156" s="200" t="n"/>
      <c r="M156" s="351" t="n"/>
      <c r="N156" s="347" t="n"/>
      <c r="O156" s="347" t="n"/>
      <c r="P156" s="350" t="n"/>
      <c r="Q156" s="348" t="n"/>
      <c r="R156" s="200" t="n"/>
      <c r="S156" s="200" t="n"/>
      <c r="T156" s="200" t="n"/>
      <c r="U156" s="200" t="n"/>
      <c r="V156" s="200" t="n"/>
      <c r="W156" s="69" t="n"/>
      <c r="X156" s="69" t="n"/>
    </row>
    <row r="157" hidden="1" ht="15.75" customHeight="1" s="1">
      <c r="A157" s="340" t="n">
        <v>44</v>
      </c>
      <c r="B157" s="341" t="n"/>
      <c r="C157" s="341" t="n"/>
      <c r="D157" s="342" t="n"/>
      <c r="E157" s="200" t="n"/>
      <c r="F157" s="200" t="n"/>
      <c r="G157" s="200" t="n"/>
      <c r="H157" s="200" t="n"/>
      <c r="I157" s="200" t="n"/>
      <c r="J157" s="200" t="n"/>
      <c r="K157" s="200" t="n"/>
      <c r="L157" s="200" t="n"/>
      <c r="M157" s="351" t="n"/>
      <c r="N157" s="347" t="n"/>
      <c r="O157" s="347" t="n"/>
      <c r="P157" s="350" t="n"/>
      <c r="Q157" s="348" t="n"/>
      <c r="R157" s="200" t="n"/>
      <c r="S157" s="200" t="n"/>
      <c r="T157" s="200" t="n"/>
      <c r="U157" s="200" t="n"/>
      <c r="V157" s="200" t="n"/>
      <c r="W157" s="69" t="n"/>
      <c r="X157" s="69" t="n"/>
    </row>
    <row r="158" hidden="1" ht="15.75" customHeight="1" s="1">
      <c r="A158" s="340" t="n">
        <v>45</v>
      </c>
      <c r="B158" s="352" t="n"/>
      <c r="C158" s="353" t="n"/>
      <c r="D158" s="342" t="n"/>
      <c r="E158" s="200" t="n"/>
      <c r="F158" s="200" t="n"/>
      <c r="G158" s="200" t="n"/>
      <c r="H158" s="200" t="n"/>
      <c r="I158" s="200" t="n"/>
      <c r="J158" s="200" t="n"/>
      <c r="K158" s="200" t="n"/>
      <c r="L158" s="200" t="n"/>
      <c r="M158" s="351" t="n"/>
      <c r="N158" s="347" t="n"/>
      <c r="O158" s="347" t="n"/>
      <c r="P158" s="350" t="n"/>
      <c r="Q158" s="348" t="n"/>
      <c r="R158" s="200" t="n"/>
      <c r="S158" s="200" t="n"/>
      <c r="T158" s="200" t="n"/>
      <c r="U158" s="200" t="n"/>
      <c r="V158" s="200" t="n"/>
      <c r="W158" s="69" t="n"/>
      <c r="X158" s="69" t="n"/>
    </row>
    <row r="159" hidden="1" ht="15.75" customHeight="1" s="1">
      <c r="A159" s="340" t="n">
        <v>46</v>
      </c>
      <c r="B159" s="354" t="n"/>
      <c r="C159" s="355" t="n"/>
      <c r="D159" s="342" t="n"/>
      <c r="E159" s="200" t="n"/>
      <c r="F159" s="200" t="n"/>
      <c r="G159" s="200" t="n"/>
      <c r="H159" s="200" t="n"/>
      <c r="I159" s="200" t="n"/>
      <c r="J159" s="200" t="n"/>
      <c r="K159" s="200" t="n"/>
      <c r="L159" s="200" t="n"/>
      <c r="M159" s="351" t="n"/>
      <c r="N159" s="347" t="n"/>
      <c r="O159" s="347" t="n"/>
      <c r="P159" s="350" t="n"/>
      <c r="Q159" s="347" t="n"/>
      <c r="R159" s="200" t="n"/>
      <c r="S159" s="200" t="n"/>
      <c r="T159" s="200" t="n"/>
      <c r="U159" s="200" t="n"/>
      <c r="V159" s="200" t="n"/>
      <c r="W159" s="69" t="n"/>
      <c r="X159" s="69" t="n"/>
    </row>
    <row r="160" hidden="1" ht="15.75" customHeight="1" s="1">
      <c r="A160" s="340" t="n">
        <v>47</v>
      </c>
      <c r="B160" s="354" t="n"/>
      <c r="C160" s="355" t="n"/>
      <c r="D160" s="342" t="n"/>
      <c r="E160" s="200" t="n"/>
      <c r="F160" s="200" t="n"/>
      <c r="G160" s="200" t="n"/>
      <c r="H160" s="200" t="n"/>
      <c r="I160" s="200" t="n"/>
      <c r="J160" s="200" t="n"/>
      <c r="K160" s="200" t="n"/>
      <c r="L160" s="200" t="n"/>
      <c r="M160" s="351" t="n"/>
      <c r="N160" s="347" t="n"/>
      <c r="O160" s="347" t="n"/>
      <c r="P160" s="350" t="n"/>
      <c r="Q160" s="347" t="n"/>
      <c r="R160" s="200" t="n"/>
      <c r="S160" s="200" t="n"/>
      <c r="T160" s="200" t="n"/>
      <c r="U160" s="200" t="n"/>
      <c r="V160" s="200" t="n"/>
      <c r="W160" s="69" t="n"/>
      <c r="X160" s="69" t="n"/>
    </row>
    <row r="161" hidden="1" ht="15.75" customHeight="1" s="1">
      <c r="A161" s="340" t="n">
        <v>48</v>
      </c>
      <c r="B161" s="354" t="n"/>
      <c r="C161" s="355" t="n"/>
      <c r="D161" s="342" t="n"/>
      <c r="E161" s="200" t="n"/>
      <c r="F161" s="200" t="n"/>
      <c r="G161" s="200" t="n"/>
      <c r="H161" s="200" t="n"/>
      <c r="I161" s="200" t="n"/>
      <c r="J161" s="200" t="n"/>
      <c r="K161" s="200" t="n"/>
      <c r="L161" s="200" t="n"/>
      <c r="M161" s="351" t="n"/>
      <c r="N161" s="347" t="n"/>
      <c r="O161" s="347" t="n"/>
      <c r="P161" s="350" t="n"/>
      <c r="Q161" s="347" t="n"/>
      <c r="R161" s="200" t="n"/>
      <c r="S161" s="200" t="n"/>
      <c r="T161" s="200" t="n"/>
      <c r="U161" s="200" t="n"/>
      <c r="V161" s="200" t="n"/>
      <c r="W161" s="69" t="n"/>
      <c r="X161" s="69" t="n"/>
    </row>
    <row r="162" hidden="1" ht="15.75" customHeight="1" s="1">
      <c r="A162" s="340" t="n">
        <v>49</v>
      </c>
      <c r="B162" s="354" t="n"/>
      <c r="C162" s="355" t="n"/>
      <c r="D162" s="342" t="n"/>
      <c r="E162" s="200" t="n"/>
      <c r="F162" s="200" t="n"/>
      <c r="G162" s="200" t="n"/>
      <c r="H162" s="200" t="n"/>
      <c r="I162" s="200" t="n"/>
      <c r="J162" s="200" t="n"/>
      <c r="K162" s="200" t="n"/>
      <c r="L162" s="200" t="n"/>
      <c r="M162" s="351" t="n"/>
      <c r="N162" s="347" t="n"/>
      <c r="O162" s="347" t="n"/>
      <c r="P162" s="350" t="n"/>
      <c r="Q162" s="347" t="n"/>
      <c r="R162" s="200" t="n"/>
      <c r="S162" s="200" t="n"/>
      <c r="T162" s="200" t="n"/>
      <c r="U162" s="200" t="n"/>
      <c r="V162" s="200" t="n"/>
      <c r="W162" s="69" t="n"/>
      <c r="X162" s="69" t="n"/>
    </row>
    <row r="163" hidden="1" ht="15.75" customHeight="1" s="1">
      <c r="A163" s="340" t="n">
        <v>50</v>
      </c>
      <c r="B163" s="354" t="n"/>
      <c r="C163" s="355" t="n"/>
      <c r="D163" s="342"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hidden="1" ht="15.75" customHeight="1" s="1">
      <c r="A164" s="340" t="n">
        <v>51</v>
      </c>
      <c r="B164" s="354" t="n"/>
      <c r="C164" s="355" t="n"/>
      <c r="D164" s="342"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hidden="1" ht="15.75" customHeight="1" s="1">
      <c r="A165" s="340" t="n">
        <v>52</v>
      </c>
      <c r="B165" s="354" t="n"/>
      <c r="C165" s="356" t="n"/>
      <c r="D165" s="342"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hidden="1" ht="15.75" customHeight="1" s="1">
      <c r="A166" s="340" t="n">
        <v>53</v>
      </c>
      <c r="B166" s="357" t="n"/>
      <c r="C166" s="200" t="n"/>
      <c r="D166" s="342"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hidden="1" ht="15.75" customHeight="1" s="1">
      <c r="A167" s="340" t="n">
        <v>54</v>
      </c>
      <c r="B167" s="358" t="n"/>
      <c r="C167" s="200" t="n"/>
      <c r="D167" s="342"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hidden="1" ht="15.75" customHeight="1" s="1">
      <c r="A168" s="340" t="n">
        <v>55</v>
      </c>
      <c r="B168" s="358" t="n"/>
      <c r="C168" s="200" t="n"/>
      <c r="D168" s="342"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hidden="1" ht="15.75" customHeight="1" s="1">
      <c r="A169" s="340" t="n">
        <v>56</v>
      </c>
      <c r="B169" s="358" t="n"/>
      <c r="C169" s="200" t="n"/>
      <c r="D169" s="342"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hidden="1" ht="15.75" customHeight="1" s="1">
      <c r="A170" s="340" t="n">
        <v>57</v>
      </c>
      <c r="B170" s="358" t="n"/>
      <c r="C170" s="200" t="n"/>
      <c r="D170" s="342"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hidden="1" ht="15.75" customHeight="1" s="1">
      <c r="A171" s="340" t="n">
        <v>58</v>
      </c>
      <c r="B171" s="358" t="n"/>
      <c r="C171" s="200" t="n"/>
      <c r="D171" s="342"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hidden="1" ht="15.75" customHeight="1" s="1">
      <c r="A172" s="340" t="n">
        <v>59</v>
      </c>
      <c r="B172" s="358" t="n"/>
      <c r="C172" s="200" t="n"/>
      <c r="D172" s="342"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hidden="1" ht="15.75" customHeight="1" s="1">
      <c r="A173" s="340" t="n">
        <v>60</v>
      </c>
      <c r="B173" s="358" t="n"/>
      <c r="C173" s="200" t="n"/>
      <c r="D173" s="342"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hidden="1" ht="15.75" customHeight="1" s="1">
      <c r="A174" s="340" t="n">
        <v>61</v>
      </c>
      <c r="B174" s="358" t="n"/>
      <c r="C174" s="200" t="n"/>
      <c r="D174" s="342"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hidden="1" ht="15.75" customHeight="1" s="1">
      <c r="A175" s="340" t="n">
        <v>62</v>
      </c>
      <c r="B175" s="358" t="n"/>
      <c r="C175" s="200" t="n"/>
      <c r="D175" s="342"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hidden="1" ht="15.75" customHeight="1" s="1">
      <c r="A176" s="340" t="n">
        <v>63</v>
      </c>
      <c r="B176" s="358" t="n"/>
      <c r="C176" s="200" t="n"/>
      <c r="D176" s="342"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hidden="1" ht="15.75" customHeight="1" s="1">
      <c r="A177" s="340" t="n">
        <v>64</v>
      </c>
      <c r="B177" s="358" t="n"/>
      <c r="C177" s="200" t="n"/>
      <c r="D177" s="342"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hidden="1" ht="15.75" customHeight="1" s="1">
      <c r="A178" s="340" t="n">
        <v>65</v>
      </c>
      <c r="B178" s="358" t="n"/>
      <c r="C178" s="200" t="n"/>
      <c r="D178" s="342"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hidden="1" ht="15.75" customHeight="1" s="1">
      <c r="A179" s="340" t="n">
        <v>66</v>
      </c>
      <c r="B179" s="358" t="n"/>
      <c r="C179" s="200" t="n"/>
      <c r="D179" s="342"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hidden="1" ht="15.75" customHeight="1" s="1">
      <c r="A180" s="340" t="n">
        <v>67</v>
      </c>
      <c r="B180" s="358" t="n"/>
      <c r="C180" s="200" t="n"/>
      <c r="D180" s="342"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hidden="1" ht="15.75" customHeight="1" s="1">
      <c r="A181" s="340" t="n">
        <v>68</v>
      </c>
      <c r="B181" s="358" t="n"/>
      <c r="C181" s="200" t="n"/>
      <c r="D181" s="342"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hidden="1" ht="15.75" customHeight="1" s="1">
      <c r="A182" s="340" t="n">
        <v>69</v>
      </c>
      <c r="B182" s="358" t="n"/>
      <c r="C182" s="200" t="n"/>
      <c r="D182" s="342"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hidden="1" ht="15.75" customHeight="1" s="1">
      <c r="A183" s="340" t="n">
        <v>70</v>
      </c>
      <c r="B183" s="358" t="n"/>
      <c r="C183" s="200" t="n"/>
      <c r="D183" s="359" t="n"/>
      <c r="E183" s="201" t="n"/>
      <c r="F183" s="201" t="n"/>
      <c r="G183" s="201" t="n"/>
      <c r="H183" s="201" t="n"/>
      <c r="I183" s="201" t="n"/>
      <c r="J183" s="201" t="n"/>
      <c r="K183" s="201" t="n"/>
      <c r="L183" s="201" t="n"/>
      <c r="M183" s="201" t="n"/>
      <c r="N183" s="201" t="n"/>
      <c r="O183" s="201" t="n"/>
      <c r="P183" s="201" t="n"/>
      <c r="Q183" s="201" t="n"/>
      <c r="R183" s="201" t="n"/>
      <c r="S183" s="201" t="n"/>
      <c r="T183" s="201" t="n"/>
      <c r="U183" s="201" t="n"/>
      <c r="V183" s="201" t="n"/>
      <c r="W183" s="69" t="n"/>
      <c r="X183" s="69" t="n"/>
    </row>
    <row r="184" hidden="1" ht="15.75" customHeight="1" s="1">
      <c r="A184" s="360" t="inlineStr">
        <is>
          <t xml:space="preserve">Actual No. of Students </t>
        </is>
      </c>
      <c r="B184" s="65">
        <f>IFERROR(COUNTA(B114:B183),"")</f>
        <v/>
      </c>
      <c r="C184" s="64">
        <f>IFERROR(COUNTA(C114:C183),"")</f>
        <v/>
      </c>
      <c r="D184" s="319">
        <f>IFERROR(COUNTA(D114:D183),"")</f>
        <v/>
      </c>
      <c r="E184" s="64">
        <f>IFERROR(COUNTA(E114:E183),"")</f>
        <v/>
      </c>
      <c r="F184" s="64">
        <f>IFERROR(COUNTA(F114:F183),"")</f>
        <v/>
      </c>
      <c r="G184" s="64">
        <f>IFERROR(COUNTA(G114:G183),"")</f>
        <v/>
      </c>
      <c r="H184" s="64">
        <f>IFERROR(COUNTA(H114:H183),"")</f>
        <v/>
      </c>
      <c r="I184" s="64">
        <f>IFERROR(COUNTA(I114:I183),"")</f>
        <v/>
      </c>
      <c r="J184" s="64">
        <f>IFERROR(COUNTA(J114:J183),"")</f>
        <v/>
      </c>
      <c r="K184" s="64">
        <f>IFERROR(COUNTA(K114:K183),"")</f>
        <v/>
      </c>
      <c r="L184" s="64">
        <f>IFERROR(COUNTA(L114:L183),"")</f>
        <v/>
      </c>
      <c r="M184" s="64">
        <f>IFERROR(COUNTA(M114:M183),"")</f>
        <v/>
      </c>
      <c r="N184" s="64">
        <f>IFERROR(COUNTA(N114:N183),"")</f>
        <v/>
      </c>
      <c r="O184" s="64">
        <f>IFERROR(COUNTA(O114:O183),"")</f>
        <v/>
      </c>
      <c r="P184" s="64">
        <f>IFERROR(COUNTA(P114:P183),"")</f>
        <v/>
      </c>
      <c r="Q184" s="64">
        <f>IFERROR(COUNTA(Q114:Q183),"")</f>
        <v/>
      </c>
      <c r="R184" s="64">
        <f>IFERROR(COUNTA(R114:R183),"")</f>
        <v/>
      </c>
      <c r="S184" s="64">
        <f>IFERROR(COUNTA(S114:S183),"")</f>
        <v/>
      </c>
      <c r="T184" s="64">
        <f>IFERROR(COUNTA(T114:T183),"")</f>
        <v/>
      </c>
      <c r="U184" s="64">
        <f>IFERROR(COUNTA(U114:U183),"")</f>
        <v/>
      </c>
      <c r="V184" s="64">
        <f>IFERROR(COUNTA(V114:V183),"")</f>
        <v/>
      </c>
      <c r="W184" s="69" t="n"/>
      <c r="X184" s="69" t="n"/>
    </row>
    <row r="185" hidden="1" ht="15.75" customHeight="1" s="1">
      <c r="A185" s="360" t="inlineStr">
        <is>
          <t>Number of Test Items</t>
        </is>
      </c>
      <c r="B185" s="65">
        <f>$B$7</f>
        <v/>
      </c>
      <c r="C185" s="64">
        <f>$B$7</f>
        <v/>
      </c>
      <c r="D185" s="319">
        <f>$B$7</f>
        <v/>
      </c>
      <c r="E185" s="64">
        <f>$B$7</f>
        <v/>
      </c>
      <c r="F185" s="64">
        <f>$B$7</f>
        <v/>
      </c>
      <c r="G185" s="64">
        <f>$B$7</f>
        <v/>
      </c>
      <c r="H185" s="64">
        <f>$B$7</f>
        <v/>
      </c>
      <c r="I185" s="64">
        <f>$B$7</f>
        <v/>
      </c>
      <c r="J185" s="64">
        <f>$B$7</f>
        <v/>
      </c>
      <c r="K185" s="64">
        <f>$B$7</f>
        <v/>
      </c>
      <c r="L185" s="64">
        <f>$B$7</f>
        <v/>
      </c>
      <c r="M185" s="64">
        <f>$B$7</f>
        <v/>
      </c>
      <c r="N185" s="64">
        <f>$B$7</f>
        <v/>
      </c>
      <c r="O185" s="64">
        <f>$B$7</f>
        <v/>
      </c>
      <c r="P185" s="64">
        <f>$B$7</f>
        <v/>
      </c>
      <c r="Q185" s="64">
        <f>$B$7</f>
        <v/>
      </c>
      <c r="R185" s="64">
        <f>$B$7</f>
        <v/>
      </c>
      <c r="S185" s="64">
        <f>$B$7</f>
        <v/>
      </c>
      <c r="T185" s="64">
        <f>$B$7</f>
        <v/>
      </c>
      <c r="U185" s="64">
        <f>$B$7</f>
        <v/>
      </c>
      <c r="V185" s="64">
        <f>$B$7</f>
        <v/>
      </c>
      <c r="W185" s="69" t="n"/>
      <c r="X185" s="69" t="n"/>
    </row>
    <row r="186" hidden="1" ht="15.75" customHeight="1" s="1">
      <c r="A186" s="360" t="inlineStr">
        <is>
          <t xml:space="preserve">Highest Score </t>
        </is>
      </c>
      <c r="B186" s="65">
        <f>IFERROR(MAX(B114:B183),"")</f>
        <v/>
      </c>
      <c r="C186" s="64">
        <f>IFERROR(MAX(C114:C183),"")</f>
        <v/>
      </c>
      <c r="D186" s="319">
        <f>IFERROR(MAX(D114:D183),"")</f>
        <v/>
      </c>
      <c r="E186" s="64">
        <f>IFERROR(MAX(E114:E183),"")</f>
        <v/>
      </c>
      <c r="F186" s="64">
        <f>IFERROR(MAX(F114:F183),"")</f>
        <v/>
      </c>
      <c r="G186" s="64">
        <f>IFERROR(MAX(G114:G183),"")</f>
        <v/>
      </c>
      <c r="H186" s="64">
        <f>IFERROR(MAX(H114:H183),"")</f>
        <v/>
      </c>
      <c r="I186" s="64">
        <f>IFERROR(MAX(I114:I183),"")</f>
        <v/>
      </c>
      <c r="J186" s="64">
        <f>IFERROR(MAX(J114:J183),"")</f>
        <v/>
      </c>
      <c r="K186" s="64">
        <f>IFERROR(MAX(K114:K183),"")</f>
        <v/>
      </c>
      <c r="L186" s="64">
        <f>IFERROR(MAX(L114:L183),"")</f>
        <v/>
      </c>
      <c r="M186" s="64">
        <f>IFERROR(MAX(M114:M183),"")</f>
        <v/>
      </c>
      <c r="N186" s="64">
        <f>IFERROR(MAX(N114:N183),"")</f>
        <v/>
      </c>
      <c r="O186" s="64">
        <f>IFERROR(MAX(O114:O183),"")</f>
        <v/>
      </c>
      <c r="P186" s="64">
        <f>IFERROR(MAX(P114:P183),"")</f>
        <v/>
      </c>
      <c r="Q186" s="64">
        <f>IFERROR(MAX(Q114:Q183),"")</f>
        <v/>
      </c>
      <c r="R186" s="64">
        <f>IFERROR(MAX(R114:R183),"")</f>
        <v/>
      </c>
      <c r="S186" s="64">
        <f>IFERROR(MAX(S114:S183),"")</f>
        <v/>
      </c>
      <c r="T186" s="64">
        <f>IFERROR(MAX(T114:T183),"")</f>
        <v/>
      </c>
      <c r="U186" s="64">
        <f>IFERROR(MAX(U114:U183),"")</f>
        <v/>
      </c>
      <c r="V186" s="64">
        <f>IFERROR(MAX(V114:V183),"")</f>
        <v/>
      </c>
      <c r="W186" s="69" t="n"/>
      <c r="X186" s="69" t="n"/>
    </row>
    <row r="187" hidden="1" ht="15.75" customHeight="1" s="1">
      <c r="A187" s="360" t="inlineStr">
        <is>
          <t xml:space="preserve">Lowest Score </t>
        </is>
      </c>
      <c r="B187" s="361">
        <f>IFERROR(MIN(B114:B183),"")</f>
        <v/>
      </c>
      <c r="C187" s="362">
        <f>IFERROR(MIN(C114:C183),"")</f>
        <v/>
      </c>
      <c r="D187" s="363">
        <f>IFERROR(MIN(D114:D183),"")</f>
        <v/>
      </c>
      <c r="E187" s="362">
        <f>IFERROR(MIN(E114:E183),"")</f>
        <v/>
      </c>
      <c r="F187" s="362">
        <f>IFERROR(MIN(F114:F183),"")</f>
        <v/>
      </c>
      <c r="G187" s="362">
        <f>IFERROR(MIN(G114:G183),"")</f>
        <v/>
      </c>
      <c r="H187" s="362">
        <f>IFERROR(MIN(H114:H183),"")</f>
        <v/>
      </c>
      <c r="I187" s="362">
        <f>IFERROR(MIN(I114:I183),"")</f>
        <v/>
      </c>
      <c r="J187" s="362">
        <f>IFERROR(MIN(J114:J183),"")</f>
        <v/>
      </c>
      <c r="K187" s="362">
        <f>IFERROR(MIN(K114:K183),"")</f>
        <v/>
      </c>
      <c r="L187" s="362">
        <f>IFERROR(MIN(L114:L183),"")</f>
        <v/>
      </c>
      <c r="M187" s="362">
        <f>IFERROR(MIN(M114:M183),"")</f>
        <v/>
      </c>
      <c r="N187" s="362">
        <f>IFERROR(MIN(N114:N183),"")</f>
        <v/>
      </c>
      <c r="O187" s="362">
        <f>IFERROR(MIN(O114:O183),"")</f>
        <v/>
      </c>
      <c r="P187" s="362">
        <f>IFERROR(MIN(P114:P183),"")</f>
        <v/>
      </c>
      <c r="Q187" s="362">
        <f>IFERROR(MIN(Q114:Q183),"")</f>
        <v/>
      </c>
      <c r="R187" s="362">
        <f>IFERROR(MIN(R114:R183),"")</f>
        <v/>
      </c>
      <c r="S187" s="362">
        <f>IFERROR(MIN(S114:S183),"")</f>
        <v/>
      </c>
      <c r="T187" s="362">
        <f>IFERROR(MIN(T114:T183),"")</f>
        <v/>
      </c>
      <c r="U187" s="362">
        <f>IFERROR(MIN(U114:U183),"")</f>
        <v/>
      </c>
      <c r="V187" s="362">
        <f>IFERROR(MIN(V114:V183),"")</f>
        <v/>
      </c>
      <c r="W187" s="69" t="n"/>
      <c r="X187" s="69" t="n"/>
    </row>
    <row r="188" hidden="1" ht="15.75" customHeight="1" s="1">
      <c r="A188" s="360" t="inlineStr">
        <is>
          <t xml:space="preserve">Mean </t>
        </is>
      </c>
      <c r="B188" s="361">
        <f>IFERROR(ROUND(SUM(B114:B183)/B184,2),"-")</f>
        <v/>
      </c>
      <c r="C188" s="362">
        <f>IFERROR(ROUND(SUM(C114:C183)/C184,2),"-")</f>
        <v/>
      </c>
      <c r="D188" s="363">
        <f>IFERROR(ROUND(SUM(D114:D183)/D184,2),"-")</f>
        <v/>
      </c>
      <c r="E188" s="362">
        <f>IFERROR(ROUND(SUM(E114:E183)/E184,2),"-")</f>
        <v/>
      </c>
      <c r="F188" s="362">
        <f>IFERROR(ROUND(SUM(F114:F183)/F184,2),"-")</f>
        <v/>
      </c>
      <c r="G188" s="362">
        <f>IFERROR(ROUND(SUM(G114:G183)/G184,2),"-")</f>
        <v/>
      </c>
      <c r="H188" s="362">
        <f>IFERROR(ROUND(SUM(H114:H183)/H184,2),"-")</f>
        <v/>
      </c>
      <c r="I188" s="362">
        <f>IFERROR(ROUND(SUM(I114:I183)/I184,2),"-")</f>
        <v/>
      </c>
      <c r="J188" s="362">
        <f>IFERROR(ROUND(SUM(J114:J183)/J184,2),"-")</f>
        <v/>
      </c>
      <c r="K188" s="362">
        <f>IFERROR(ROUND(SUM(K114:K183)/K184,2),"-")</f>
        <v/>
      </c>
      <c r="L188" s="362">
        <f>IFERROR(ROUND(SUM(L114:L183)/L184,2),"-")</f>
        <v/>
      </c>
      <c r="M188" s="362">
        <f>IFERROR(ROUND(SUM(M114:M183)/M184,2),"-")</f>
        <v/>
      </c>
      <c r="N188" s="362">
        <f>IFERROR(ROUND(SUM(N114:N183)/N184,2),"-")</f>
        <v/>
      </c>
      <c r="O188" s="362">
        <f>IFERROR(ROUND(SUM(O114:O183)/O184,2),"-")</f>
        <v/>
      </c>
      <c r="P188" s="362">
        <f>IFERROR(ROUND(SUM(P114:P183)/P184,2),"-")</f>
        <v/>
      </c>
      <c r="Q188" s="362">
        <f>IFERROR(ROUND(SUM(Q114:Q183)/Q184,2),"-")</f>
        <v/>
      </c>
      <c r="R188" s="362">
        <f>IFERROR(ROUND(SUM(R114:R183)/R184,2),"-")</f>
        <v/>
      </c>
      <c r="S188" s="362">
        <f>IFERROR(ROUND(SUM(S114:S183)/S184,2),"-")</f>
        <v/>
      </c>
      <c r="T188" s="362">
        <f>IFERROR(ROUND(SUM(T114:T183)/T184,2),"-")</f>
        <v/>
      </c>
      <c r="U188" s="362">
        <f>IFERROR(ROUND(SUM(U114:U183)/U184,2),"-")</f>
        <v/>
      </c>
      <c r="V188" s="362">
        <f>IFERROR(ROUND(SUM(V114:V183)/V184,2),"-")</f>
        <v/>
      </c>
      <c r="W188" s="69" t="n"/>
      <c r="X188" s="69" t="n"/>
    </row>
    <row r="189" hidden="1" ht="20.25" customHeight="1" s="1">
      <c r="A189" s="360" t="inlineStr">
        <is>
          <t xml:space="preserve">Mean Percentage Score (MPS) </t>
        </is>
      </c>
      <c r="B189" s="361">
        <f>IFERROR(ROUND(B188/B185,2),"-")</f>
        <v/>
      </c>
      <c r="C189" s="362">
        <f>IFERROR(ROUND(C188/C185,2),"-")</f>
        <v/>
      </c>
      <c r="D189" s="363">
        <f>IFERROR(ROUND(D188/D185,2),"-")</f>
        <v/>
      </c>
      <c r="E189" s="362">
        <f>IFERROR(ROUND(E188/E185,2),"-")</f>
        <v/>
      </c>
      <c r="F189" s="362">
        <f>IFERROR(ROUND(F188/F185,2),"-")</f>
        <v/>
      </c>
      <c r="G189" s="362">
        <f>IFERROR(ROUND(G188/G185,2),"-")</f>
        <v/>
      </c>
      <c r="H189" s="362">
        <f>IFERROR(ROUND(H188/H185,2),"-")</f>
        <v/>
      </c>
      <c r="I189" s="362">
        <f>IFERROR(ROUND(I188/I185,2),"-")</f>
        <v/>
      </c>
      <c r="J189" s="362">
        <f>IFERROR(ROUND(J188/J185,2),"-")</f>
        <v/>
      </c>
      <c r="K189" s="362">
        <f>IFERROR(ROUND(K188/K185,2),"-")</f>
        <v/>
      </c>
      <c r="L189" s="362">
        <f>IFERROR(ROUND(L188/L185,2),"-")</f>
        <v/>
      </c>
      <c r="M189" s="362">
        <f>IFERROR(ROUND(M188/M185,2),"-")</f>
        <v/>
      </c>
      <c r="N189" s="362">
        <f>IFERROR(ROUND(N188/N185,2),"-")</f>
        <v/>
      </c>
      <c r="O189" s="362">
        <f>IFERROR(ROUND(O188/O185,2),"-")</f>
        <v/>
      </c>
      <c r="P189" s="362">
        <f>IFERROR(ROUND(P188/P185,2),"-")</f>
        <v/>
      </c>
      <c r="Q189" s="362">
        <f>IFERROR(ROUND(Q188/Q185,2),"-")</f>
        <v/>
      </c>
      <c r="R189" s="362">
        <f>IFERROR(ROUND(R188/R185,2),"-")</f>
        <v/>
      </c>
      <c r="S189" s="362">
        <f>IFERROR(ROUND(S188/S185,2),"-")</f>
        <v/>
      </c>
      <c r="T189" s="362">
        <f>IFERROR(ROUND(T188/T185,2),"-")</f>
        <v/>
      </c>
      <c r="U189" s="362">
        <f>IFERROR(ROUND(U188/U185,2),"-")</f>
        <v/>
      </c>
      <c r="V189" s="362">
        <f>IFERROR(ROUND(V188/V185,2),"-")</f>
        <v/>
      </c>
      <c r="W189" s="69" t="n"/>
      <c r="X189" s="69" t="n"/>
    </row>
    <row r="190" hidden="1" ht="15.75" customHeight="1" s="1">
      <c r="A190" s="360" t="inlineStr">
        <is>
          <t xml:space="preserve">Standard Deviation (SD) </t>
        </is>
      </c>
      <c r="B190" s="361">
        <f>IFERROR(ROUND(STDEV(B114:B183),2),"-")</f>
        <v/>
      </c>
      <c r="C190" s="362">
        <f>IFERROR(ROUND(STDEV(C114:C183),2),"-")</f>
        <v/>
      </c>
      <c r="D190" s="363">
        <f>IFERROR(ROUND(STDEV(D114:D183),2),"-")</f>
        <v/>
      </c>
      <c r="E190" s="362">
        <f>IFERROR(ROUND(STDEV(E114:E183),2),"-")</f>
        <v/>
      </c>
      <c r="F190" s="362">
        <f>IFERROR(ROUND(STDEV(F114:F183),2),"-")</f>
        <v/>
      </c>
      <c r="G190" s="362">
        <f>IFERROR(ROUND(STDEV(G114:G183),2),"-")</f>
        <v/>
      </c>
      <c r="H190" s="362">
        <f>IFERROR(ROUND(STDEV(H114:H183),2),"-")</f>
        <v/>
      </c>
      <c r="I190" s="362">
        <f>IFERROR(ROUND(STDEV(I114:I183),2),"-")</f>
        <v/>
      </c>
      <c r="J190" s="362">
        <f>IFERROR(ROUND(STDEV(J114:J183),2),"-")</f>
        <v/>
      </c>
      <c r="K190" s="362">
        <f>IFERROR(ROUND(STDEV(K114:K183),2),"-")</f>
        <v/>
      </c>
      <c r="L190" s="362">
        <f>IFERROR(ROUND(STDEV(L114:L183),2),"-")</f>
        <v/>
      </c>
      <c r="M190" s="362">
        <f>IFERROR(ROUND(STDEV(M114:M183),2),"-")</f>
        <v/>
      </c>
      <c r="N190" s="362">
        <f>IFERROR(ROUND(STDEV(N114:N183),2),"-")</f>
        <v/>
      </c>
      <c r="O190" s="362">
        <f>IFERROR(ROUND(STDEV(O114:O183),2),"-")</f>
        <v/>
      </c>
      <c r="P190" s="362">
        <f>IFERROR(ROUND(STDEV(P114:P183),2),"-")</f>
        <v/>
      </c>
      <c r="Q190" s="362">
        <f>IFERROR(ROUND(STDEV(Q114:Q183),2),"-")</f>
        <v/>
      </c>
      <c r="R190" s="362">
        <f>IFERROR(ROUND(STDEV(R114:R183),2),"-")</f>
        <v/>
      </c>
      <c r="S190" s="362">
        <f>IFERROR(ROUND(STDEV(S114:S183),2),"-")</f>
        <v/>
      </c>
      <c r="T190" s="362">
        <f>IFERROR(ROUND(STDEV(T114:T183),2),"-")</f>
        <v/>
      </c>
      <c r="U190" s="362">
        <f>IFERROR(ROUND(STDEV(U114:U183),2),"-")</f>
        <v/>
      </c>
      <c r="V190" s="362">
        <f>IFERROR(ROUND(STDEV(V114:V183),2),"-")</f>
        <v/>
      </c>
      <c r="W190" s="69" t="n"/>
      <c r="X190" s="69" t="n"/>
    </row>
    <row r="191" hidden="1" ht="15.75" customHeight="1" s="1">
      <c r="A191" s="360" t="inlineStr">
        <is>
          <t xml:space="preserve">Skewness </t>
        </is>
      </c>
      <c r="B191" s="361">
        <f>IFERROR(ROUND(SKEW(B114:B183),2),"-")</f>
        <v/>
      </c>
      <c r="C191" s="362">
        <f>IFERROR(ROUND(SKEW(C114:C183),2),"-")</f>
        <v/>
      </c>
      <c r="D191" s="363">
        <f>IFERROR(ROUND(SKEW(D114:D183),2),"-")</f>
        <v/>
      </c>
      <c r="E191" s="362">
        <f>IFERROR(ROUND(SKEW(E114:E183),2),"-")</f>
        <v/>
      </c>
      <c r="F191" s="362">
        <f>IFERROR(ROUND(SKEW(F114:F183),2),"-")</f>
        <v/>
      </c>
      <c r="G191" s="362">
        <f>IFERROR(ROUND(SKEW(G114:G183),2),"-")</f>
        <v/>
      </c>
      <c r="H191" s="362">
        <f>IFERROR(ROUND(SKEW(H114:H183),2),"-")</f>
        <v/>
      </c>
      <c r="I191" s="362">
        <f>IFERROR(ROUND(SKEW(I114:I183),2),"-")</f>
        <v/>
      </c>
      <c r="J191" s="362">
        <f>IFERROR(ROUND(SKEW(J114:J183),2),"-")</f>
        <v/>
      </c>
      <c r="K191" s="362">
        <f>IFERROR(ROUND(SKEW(K114:K183),2),"-")</f>
        <v/>
      </c>
      <c r="L191" s="362">
        <f>IFERROR(ROUND(SKEW(L114:L183),2),"-")</f>
        <v/>
      </c>
      <c r="M191" s="362">
        <f>IFERROR(ROUND(SKEW(M114:M183),2),"-")</f>
        <v/>
      </c>
      <c r="N191" s="362">
        <f>IFERROR(ROUND(SKEW(N114:N183),2),"-")</f>
        <v/>
      </c>
      <c r="O191" s="362">
        <f>IFERROR(ROUND(SKEW(O114:O183),2),"-")</f>
        <v/>
      </c>
      <c r="P191" s="362">
        <f>IFERROR(ROUND(SKEW(P114:P183),2),"-")</f>
        <v/>
      </c>
      <c r="Q191" s="362">
        <f>IFERROR(ROUND(SKEW(Q114:Q183),2),"-")</f>
        <v/>
      </c>
      <c r="R191" s="362">
        <f>IFERROR(ROUND(SKEW(R114:R183),2),"-")</f>
        <v/>
      </c>
      <c r="S191" s="362">
        <f>IFERROR(ROUND(SKEW(S114:S183),2),"-")</f>
        <v/>
      </c>
      <c r="T191" s="362">
        <f>IFERROR(ROUND(SKEW(T114:T183),2),"-")</f>
        <v/>
      </c>
      <c r="U191" s="362">
        <f>IFERROR(ROUND(SKEW(U114:U183),2),"-")</f>
        <v/>
      </c>
      <c r="V191" s="362">
        <f>IFERROR(ROUND(SKEW(V114:V183),2),"-")</f>
        <v/>
      </c>
      <c r="W191" s="69" t="n"/>
      <c r="X191" s="69" t="n"/>
    </row>
    <row r="192" hidden="1" ht="39.75" customHeight="1" s="1">
      <c r="A192" s="364" t="inlineStr">
        <is>
          <t>NO. OF FAILED IN QUARTER 1 (CARD)</t>
        </is>
      </c>
      <c r="B192" s="358" t="n"/>
      <c r="C192" s="200" t="n"/>
      <c r="D192" s="342" t="n"/>
      <c r="E192" s="200" t="n"/>
      <c r="F192" s="200" t="n"/>
      <c r="G192" s="200" t="n"/>
      <c r="H192" s="200" t="n"/>
      <c r="I192" s="200" t="n"/>
      <c r="J192" s="200" t="n"/>
      <c r="K192" s="200" t="n"/>
      <c r="L192" s="200" t="n"/>
      <c r="M192" s="200" t="n"/>
      <c r="N192" s="200" t="n"/>
      <c r="O192" s="200" t="n"/>
      <c r="P192" s="200" t="n"/>
      <c r="Q192" s="200" t="n"/>
      <c r="R192" s="200" t="n"/>
      <c r="S192" s="200" t="n"/>
      <c r="T192" s="200" t="n"/>
      <c r="U192" s="200" t="n"/>
      <c r="V192" s="200" t="n"/>
      <c r="W192" s="362">
        <f>SUM(B192:V192)</f>
        <v/>
      </c>
      <c r="X192" s="362">
        <f>IFERROR(ROUND(W192/$B$8*100,2),"%")</f>
        <v/>
      </c>
    </row>
    <row r="193"/>
    <row r="194"/>
    <row r="195" hidden="1" ht="26.25" customHeight="1" s="1">
      <c r="A195" s="333" t="inlineStr">
        <is>
          <t>STEP 3: DETERMINE THE LEAST MASTERED COMPETENCIES (TEST ITEM WITH LOWEST 5 SCORES) AND INTERVENTION *</t>
        </is>
      </c>
      <c r="B195" s="326" t="n"/>
      <c r="C195" s="82" t="n"/>
      <c r="D195" s="82" t="n"/>
      <c r="E195" s="82" t="n"/>
      <c r="F195" s="82" t="n"/>
      <c r="G195" s="82" t="n"/>
      <c r="H195" s="82" t="n"/>
      <c r="I195" s="82" t="n"/>
      <c r="J195" s="82" t="n"/>
      <c r="K195" s="82" t="n"/>
      <c r="L195" s="82" t="n"/>
      <c r="M195" s="82" t="n"/>
      <c r="N195" s="82" t="n"/>
      <c r="O195" s="82" t="n"/>
      <c r="P195" s="82" t="n"/>
      <c r="Q195" s="82" t="n"/>
      <c r="R195" s="82" t="n"/>
      <c r="S195" s="82" t="n"/>
      <c r="T195" s="82" t="n"/>
      <c r="U195" s="82" t="n"/>
      <c r="V195" s="82" t="n"/>
    </row>
    <row r="196" hidden="1" ht="89.25" customHeight="1" s="1">
      <c r="A196" s="365" t="inlineStr">
        <is>
          <t>OVER-ALL RESULT</t>
        </is>
      </c>
      <c r="B196" s="366" t="inlineStr">
        <is>
          <t>TEST ITEM NO.</t>
        </is>
      </c>
      <c r="C196" s="367" t="inlineStr">
        <is>
          <t>% OF CORRECT RESPONSE</t>
        </is>
      </c>
      <c r="D196" s="368" t="inlineStr">
        <is>
          <t>LMC (with Code)</t>
        </is>
      </c>
      <c r="E196" s="412" t="n"/>
      <c r="F196" s="412" t="n"/>
      <c r="G196" s="412" t="n"/>
      <c r="H196" s="412" t="n"/>
      <c r="I196" s="412" t="n"/>
      <c r="J196" s="412" t="n"/>
      <c r="K196" s="369" t="n"/>
      <c r="L196" s="370" t="inlineStr">
        <is>
          <t>* Planned Intervention Options:</t>
        </is>
      </c>
      <c r="M196" s="412" t="n"/>
      <c r="N196" s="412" t="n"/>
      <c r="O196" s="412" t="n"/>
      <c r="P196" s="412" t="n"/>
      <c r="Q196" s="371" t="inlineStr">
        <is>
          <t>** Mode of Intervention Options:</t>
        </is>
      </c>
      <c r="R196" s="412" t="n"/>
      <c r="S196" s="412" t="n"/>
      <c r="T196" s="412" t="n"/>
      <c r="U196" s="412" t="n"/>
      <c r="V196" s="412" t="n"/>
    </row>
    <row r="197" hidden="1" ht="54" customHeight="1" s="1">
      <c r="A197" s="360" t="inlineStr">
        <is>
          <t>Least Mastered Competency 1</t>
        </is>
      </c>
      <c r="B197" s="362" t="n"/>
      <c r="C197" s="372" t="n"/>
      <c r="D197" s="373" t="n"/>
      <c r="E197" s="412" t="n"/>
      <c r="F197" s="412" t="n"/>
      <c r="G197" s="412" t="n"/>
      <c r="H197" s="412" t="n"/>
      <c r="I197" s="412" t="n"/>
      <c r="J197" s="412" t="n"/>
      <c r="K197" s="82" t="n"/>
      <c r="L197" s="374" t="inlineStr">
        <is>
          <t>Reteaching</t>
        </is>
      </c>
      <c r="M197" s="412" t="n"/>
      <c r="N197" s="412" t="n"/>
      <c r="O197" s="412" t="n"/>
      <c r="P197" s="412" t="n"/>
      <c r="Q197" s="375" t="n"/>
      <c r="R197" s="412" t="n"/>
      <c r="S197" s="412" t="n"/>
      <c r="T197" s="412" t="n"/>
      <c r="U197" s="412" t="n"/>
      <c r="V197" s="412" t="n"/>
    </row>
    <row r="198" hidden="1" ht="54" customHeight="1" s="1">
      <c r="A198" s="360" t="inlineStr">
        <is>
          <t>Least Mastered Competency 2</t>
        </is>
      </c>
      <c r="B198" s="362" t="n"/>
      <c r="C198" s="372" t="n"/>
      <c r="D198" s="373" t="n"/>
      <c r="E198" s="412" t="n"/>
      <c r="F198" s="412" t="n"/>
      <c r="G198" s="412" t="n"/>
      <c r="H198" s="412" t="n"/>
      <c r="I198" s="412" t="n"/>
      <c r="J198" s="412" t="n"/>
      <c r="K198" s="82" t="n"/>
      <c r="L198" s="376" t="inlineStr">
        <is>
          <t>Using alternative instructional strategies</t>
        </is>
      </c>
      <c r="M198" s="412" t="n"/>
      <c r="N198" s="412" t="n"/>
      <c r="O198" s="412" t="n"/>
      <c r="P198" s="412" t="n"/>
      <c r="Q198" s="375" t="n"/>
      <c r="R198" s="412" t="n"/>
      <c r="S198" s="412" t="n"/>
      <c r="T198" s="412" t="n"/>
      <c r="U198" s="412" t="n"/>
      <c r="V198" s="412" t="n"/>
    </row>
    <row r="199" hidden="1" ht="54" customHeight="1" s="1">
      <c r="A199" s="360" t="inlineStr">
        <is>
          <t>Least Mastered Competency 3</t>
        </is>
      </c>
      <c r="B199" s="362" t="n"/>
      <c r="C199" s="372" t="n"/>
      <c r="D199" s="373" t="n"/>
      <c r="E199" s="412" t="n"/>
      <c r="F199" s="412" t="n"/>
      <c r="G199" s="412" t="n"/>
      <c r="H199" s="412" t="n"/>
      <c r="I199" s="412" t="n"/>
      <c r="J199" s="412" t="n"/>
      <c r="K199" s="82" t="n"/>
      <c r="L199" s="376" t="inlineStr">
        <is>
          <t>Task analysis</t>
        </is>
      </c>
      <c r="M199" s="412" t="n"/>
      <c r="N199" s="412" t="n"/>
      <c r="O199" s="412" t="n"/>
      <c r="P199" s="412" t="n"/>
      <c r="Q199" s="375" t="n"/>
      <c r="R199" s="412" t="n"/>
      <c r="S199" s="412" t="n"/>
      <c r="T199" s="412" t="n"/>
      <c r="U199" s="412" t="n"/>
      <c r="V199" s="412" t="n"/>
    </row>
    <row r="200" hidden="1" ht="54" customHeight="1" s="1">
      <c r="A200" s="360" t="inlineStr">
        <is>
          <t>Least Mastered Competency 4</t>
        </is>
      </c>
      <c r="B200" s="362" t="n"/>
      <c r="C200" s="372" t="n"/>
      <c r="D200" s="373" t="n"/>
      <c r="E200" s="412" t="n"/>
      <c r="F200" s="412" t="n"/>
      <c r="G200" s="412" t="n"/>
      <c r="H200" s="412" t="n"/>
      <c r="I200" s="412" t="n"/>
      <c r="J200" s="412" t="n"/>
      <c r="K200" s="82" t="n"/>
      <c r="L200" s="376" t="inlineStr">
        <is>
          <t>Additional practice</t>
        </is>
      </c>
      <c r="M200" s="412" t="n"/>
      <c r="N200" s="412" t="n"/>
      <c r="O200" s="412" t="n"/>
      <c r="P200" s="412" t="n"/>
      <c r="Q200" s="375" t="n"/>
      <c r="R200" s="412" t="n"/>
      <c r="S200" s="412" t="n"/>
      <c r="T200" s="412" t="n"/>
      <c r="U200" s="412" t="n"/>
      <c r="V200" s="412" t="n"/>
    </row>
    <row r="201" hidden="1" ht="54" customHeight="1" s="1">
      <c r="A201" s="360" t="inlineStr">
        <is>
          <t>Least Mastered Competency 5</t>
        </is>
      </c>
      <c r="B201" s="362" t="n"/>
      <c r="C201" s="372" t="n"/>
      <c r="D201" s="373" t="n"/>
      <c r="E201" s="412" t="n"/>
      <c r="F201" s="412" t="n"/>
      <c r="G201" s="412" t="n"/>
      <c r="H201" s="412" t="n"/>
      <c r="I201" s="412" t="n"/>
      <c r="J201" s="412" t="n"/>
      <c r="K201" s="82" t="n"/>
      <c r="L201" s="376" t="inlineStr">
        <is>
          <t>One-on-one tutoring</t>
        </is>
      </c>
      <c r="M201" s="412" t="n"/>
      <c r="N201" s="412" t="n"/>
      <c r="O201" s="412" t="n"/>
      <c r="P201" s="412" t="n"/>
      <c r="Q201" s="375" t="n"/>
      <c r="R201" s="412" t="n"/>
      <c r="S201" s="412" t="n"/>
      <c r="T201" s="412" t="n"/>
      <c r="U201" s="412" t="n"/>
      <c r="V201" s="412" t="n"/>
    </row>
    <row r="202" hidden="1" ht="54" customHeight="1" s="1">
      <c r="A202" s="360" t="inlineStr">
        <is>
          <t>* Planned Intervention/s to Address Least-Mastered Competencies</t>
        </is>
      </c>
      <c r="B202" s="377" t="n"/>
      <c r="C202" s="378" t="n"/>
      <c r="D202" s="379" t="n"/>
      <c r="E202" s="412" t="n"/>
      <c r="F202" s="412" t="n"/>
      <c r="G202" s="412" t="n"/>
      <c r="H202" s="412" t="n"/>
      <c r="I202" s="412" t="n"/>
      <c r="J202" s="412" t="n"/>
      <c r="K202" s="82" t="n"/>
      <c r="L202" s="257" t="n"/>
      <c r="M202" s="380" t="n"/>
      <c r="N202" s="257" t="n"/>
      <c r="O202" s="257" t="n"/>
      <c r="P202" s="257" t="n"/>
      <c r="Q202" s="257" t="n"/>
      <c r="R202" s="257" t="n"/>
      <c r="S202" s="257" t="n"/>
      <c r="T202" s="257" t="n"/>
      <c r="U202" s="257" t="n"/>
      <c r="V202" s="257" t="n"/>
    </row>
    <row r="203" hidden="1" ht="54" customHeight="1" s="1">
      <c r="A203" s="360" t="inlineStr">
        <is>
          <t>** Mode of Intervention</t>
        </is>
      </c>
      <c r="B203" s="382" t="n"/>
      <c r="C203" s="412" t="n"/>
      <c r="D203" s="412" t="n"/>
      <c r="E203" s="412" t="n"/>
      <c r="F203" s="412" t="n"/>
      <c r="G203" s="412" t="n"/>
      <c r="H203" s="412" t="n"/>
      <c r="I203" s="412" t="n"/>
      <c r="J203" s="414" t="n"/>
      <c r="K203" s="82" t="n"/>
      <c r="L203" s="82" t="n"/>
      <c r="M203" s="257" t="n"/>
      <c r="N203" s="257" t="n"/>
      <c r="O203" s="257" t="n"/>
      <c r="P203" s="257" t="n"/>
      <c r="Q203" s="257" t="n"/>
      <c r="R203" s="257" t="n"/>
      <c r="S203" s="257" t="n"/>
      <c r="T203" s="257" t="n"/>
      <c r="U203" s="257" t="n"/>
      <c r="V203" s="257" t="n"/>
    </row>
    <row r="204" hidden="1" ht="15.75" customHeight="1" s="1">
      <c r="A204" s="330" t="n"/>
      <c r="B204" s="82" t="n"/>
      <c r="C204" s="82" t="n"/>
      <c r="D204" s="82" t="n"/>
      <c r="E204" s="82" t="n"/>
      <c r="F204" s="82" t="n"/>
      <c r="G204" s="82" t="n"/>
      <c r="H204" s="82" t="n"/>
      <c r="I204" s="82" t="n"/>
      <c r="J204" s="82" t="n"/>
      <c r="K204" s="82" t="n"/>
      <c r="L204" s="82" t="n"/>
      <c r="M204" s="82" t="n"/>
      <c r="N204" s="82" t="n"/>
      <c r="O204" s="82" t="n"/>
      <c r="P204" s="82" t="n"/>
      <c r="Q204" s="82" t="n"/>
      <c r="R204" s="82" t="n"/>
      <c r="S204" s="82" t="n"/>
      <c r="T204" s="82" t="n"/>
      <c r="U204" s="82" t="n"/>
      <c r="V204" s="82" t="n"/>
    </row>
    <row r="205" hidden="1" ht="15.75" customHeight="1" s="1">
      <c r="A205" s="383" t="inlineStr">
        <is>
          <t>* The Key Teacher will determine LMCs and INTERVENTION when ALL have been encoded.</t>
        </is>
      </c>
      <c r="B205" s="82" t="n"/>
      <c r="C205" s="82" t="n"/>
      <c r="D205" s="82" t="n"/>
      <c r="E205" s="82" t="n"/>
      <c r="F205" s="82" t="n"/>
      <c r="G205" s="82" t="n"/>
      <c r="H205" s="82" t="n"/>
      <c r="I205" s="82" t="n"/>
      <c r="J205" s="82" t="n"/>
      <c r="K205" s="82" t="n"/>
      <c r="L205" s="82" t="n"/>
      <c r="M205" s="82" t="n"/>
      <c r="N205" s="82" t="n"/>
      <c r="O205" s="82" t="n"/>
      <c r="P205" s="82" t="n"/>
      <c r="Q205" s="82" t="n"/>
      <c r="R205" s="82" t="n"/>
      <c r="S205" s="82" t="n"/>
      <c r="T205" s="82" t="n"/>
      <c r="U205" s="82" t="n"/>
      <c r="V205" s="82" t="n"/>
    </row>
    <row r="206" hidden="1" s="1">
      <c r="B206" s="291" t="n"/>
    </row>
    <row r="207" hidden="1" s="1">
      <c r="A207" s="384" t="inlineStr">
        <is>
          <t>CSS 2</t>
        </is>
      </c>
      <c r="B207" s="386">
        <f>W13</f>
        <v/>
      </c>
      <c r="C207" s="412" t="n"/>
      <c r="D207" s="414" t="n"/>
    </row>
    <row r="208" hidden="1" s="1">
      <c r="A208" s="387" t="inlineStr">
        <is>
          <t>MELC</t>
        </is>
      </c>
      <c r="B208" s="387" t="inlineStr">
        <is>
          <t>MEAN</t>
        </is>
      </c>
      <c r="C208" s="388" t="inlineStr">
        <is>
          <t>MPS</t>
        </is>
      </c>
      <c r="D208" s="389" t="inlineStr">
        <is>
          <t>SD</t>
        </is>
      </c>
    </row>
    <row r="209" hidden="1" s="1">
      <c r="A209" s="390" t="n">
        <v>1</v>
      </c>
      <c r="B209" s="391">
        <f>SUM(W15:W24)/W13</f>
        <v/>
      </c>
      <c r="C209" s="392">
        <f>(B209/10)*100</f>
        <v/>
      </c>
      <c r="D209" s="393">
        <f>STDEV(O15:R24)</f>
        <v/>
      </c>
      <c r="F209" t="inlineStr">
        <is>
          <t>PUNCTUAL</t>
        </is>
      </c>
    </row>
    <row r="210" hidden="1" s="1">
      <c r="A210" s="390" t="n">
        <v>2</v>
      </c>
      <c r="B210" s="391">
        <f>SUM(W25:W43)/W13</f>
        <v/>
      </c>
      <c r="C210" s="392">
        <f>(B210/19)*100</f>
        <v/>
      </c>
      <c r="D210" s="393">
        <f>STDEV(O25:R34)</f>
        <v/>
      </c>
    </row>
    <row r="211" hidden="1" s="1">
      <c r="A211" s="390" t="n">
        <v>3</v>
      </c>
      <c r="B211" s="391">
        <f>SUM(W44:W68)/W13</f>
        <v/>
      </c>
      <c r="C211" s="392">
        <f>(B211/25)*100</f>
        <v/>
      </c>
      <c r="D211" s="393">
        <f>STDEV(O35:R44)</f>
        <v/>
      </c>
    </row>
    <row r="212" hidden="1" s="1">
      <c r="A212" s="390" t="n">
        <v>4</v>
      </c>
      <c r="B212" s="391">
        <f>SUM(W69:W74)/W13</f>
        <v/>
      </c>
      <c r="C212" s="392">
        <f>(B212/6)*100</f>
        <v/>
      </c>
      <c r="D212" s="393">
        <f>STDEV(O45:R54)</f>
        <v/>
      </c>
    </row>
    <row r="213" hidden="1" s="1">
      <c r="A213" s="394" t="inlineStr">
        <is>
          <t>TOTAL</t>
        </is>
      </c>
      <c r="B213" s="395">
        <f>AVERAGE(B210:B212)</f>
        <v/>
      </c>
      <c r="C213" s="392">
        <f>AVERAGE(C210:C212)</f>
        <v/>
      </c>
      <c r="D213" s="396">
        <f>AVERAGE(D210:D212)</f>
        <v/>
      </c>
    </row>
  </sheetData>
  <mergeCells count="78">
    <mergeCell ref="B7:F7"/>
    <mergeCell ref="B11:V11"/>
    <mergeCell ref="B3:F3"/>
    <mergeCell ref="A103:E103"/>
    <mergeCell ref="R93:U93"/>
    <mergeCell ref="B2:F2"/>
    <mergeCell ref="N83:Z83"/>
    <mergeCell ref="R92:U92"/>
    <mergeCell ref="B84:M84"/>
    <mergeCell ref="N85:Z85"/>
    <mergeCell ref="B80:M80"/>
    <mergeCell ref="L196:P196"/>
    <mergeCell ref="B79:M79"/>
    <mergeCell ref="D198:J198"/>
    <mergeCell ref="A100:E100"/>
    <mergeCell ref="B6:F6"/>
    <mergeCell ref="D197:J197"/>
    <mergeCell ref="A93:E93"/>
    <mergeCell ref="W93:Z93"/>
    <mergeCell ref="N88:Z88"/>
    <mergeCell ref="R96:U96"/>
    <mergeCell ref="Q197:V197"/>
    <mergeCell ref="B88:M88"/>
    <mergeCell ref="B82:M82"/>
    <mergeCell ref="B8:F8"/>
    <mergeCell ref="B83:M83"/>
    <mergeCell ref="D199:J199"/>
    <mergeCell ref="H93:K93"/>
    <mergeCell ref="Q196:V196"/>
    <mergeCell ref="B207:D207"/>
    <mergeCell ref="L197:P197"/>
    <mergeCell ref="A95:E95"/>
    <mergeCell ref="B85:M85"/>
    <mergeCell ref="A97:E97"/>
    <mergeCell ref="B9:F9"/>
    <mergeCell ref="W97:Z97"/>
    <mergeCell ref="B5:F5"/>
    <mergeCell ref="W96:Z96"/>
    <mergeCell ref="X75:Z76"/>
    <mergeCell ref="B4:F4"/>
    <mergeCell ref="Q200:V200"/>
    <mergeCell ref="R97:U97"/>
    <mergeCell ref="A78:A79"/>
    <mergeCell ref="N84:Z84"/>
    <mergeCell ref="D196:J196"/>
    <mergeCell ref="N87:Z87"/>
    <mergeCell ref="L199:P199"/>
    <mergeCell ref="B87:M87"/>
    <mergeCell ref="N80:Z80"/>
    <mergeCell ref="M93:P93"/>
    <mergeCell ref="Q201:V201"/>
    <mergeCell ref="N89:Z89"/>
    <mergeCell ref="N79:Z79"/>
    <mergeCell ref="B1:F1"/>
    <mergeCell ref="M92:P92"/>
    <mergeCell ref="B110:V110"/>
    <mergeCell ref="Q199:V199"/>
    <mergeCell ref="L201:P201"/>
    <mergeCell ref="D200:J200"/>
    <mergeCell ref="B86:M86"/>
    <mergeCell ref="D202:J202"/>
    <mergeCell ref="A98:E98"/>
    <mergeCell ref="D201:J201"/>
    <mergeCell ref="L198:P198"/>
    <mergeCell ref="H92:K92"/>
    <mergeCell ref="A90:E90"/>
    <mergeCell ref="N86:Z86"/>
    <mergeCell ref="B89:M89"/>
    <mergeCell ref="L200:P200"/>
    <mergeCell ref="W92:Z92"/>
    <mergeCell ref="B203:J203"/>
    <mergeCell ref="N81:Z81"/>
    <mergeCell ref="B81:M81"/>
    <mergeCell ref="Q198:V198"/>
    <mergeCell ref="A102:E102"/>
    <mergeCell ref="N82:Z82"/>
    <mergeCell ref="B78:Z78"/>
    <mergeCell ref="A92:E92"/>
  </mergeCells>
  <conditionalFormatting sqref="A15:A74">
    <cfRule type="containsText" priority="1" operator="between" dxfId="0" text="Least Mastered">
      <formula>NOT(ISERROR(SEARCH("Least Mastered",A15)))</formula>
    </cfRule>
  </conditionalFormatting>
  <conditionalFormatting sqref="A114:A183">
    <cfRule type="containsText" priority="4" operator="between" dxfId="0" text="Least Mastered">
      <formula>NOT(ISERROR(SEARCH("Least Mastered",A114)))</formula>
    </cfRule>
  </conditionalFormatting>
  <conditionalFormatting sqref="Z15:Z74 Z77">
    <cfRule type="containsText" priority="3" operator="between" dxfId="0" text="Least Mastered">
      <formula>NOT(ISERROR(SEARCH("Least Mastered",Z15)))</formula>
    </cfRule>
  </conditionalFormatting>
  <conditionalFormatting sqref="A77:A78 A80:A89">
    <cfRule type="containsText" priority="2" operator="between" dxfId="0" text="Least Mastered">
      <formula>NOT(ISERROR(SEARCH("Least Mastered",A77)))</formula>
    </cfRule>
  </conditionalFormatting>
  <dataValidations count="2">
    <dataValidation sqref="B202" showDropDown="0" showInputMessage="0" showErrorMessage="1" allowBlank="1" type="list">
      <formula1>$L197:$L201</formula1>
    </dataValidation>
    <dataValidation sqref="B203" showDropDown="0" showInputMessage="0" showErrorMessage="1" allowBlank="1" type="list">
      <formula1>$Q$197:$Q$199</formula1>
    </dataValidation>
  </dataValidations>
  <hyperlinks>
    <hyperlink ref="H1" location="'HOW-TO STEPS'!A1" display="Go back to HOW-TO STEPS tab"/>
    <hyperlink ref="B5" location="'CSS 2'!A1" display="Elective- Business and Entrepeneurship "/>
  </hyperlinks>
  <printOptions horizontalCentered="1"/>
  <pageMargins left="0.25" right="0.25" top="0.75" bottom="0.75" header="0" footer="0"/>
  <pageSetup orientation="landscape" paperSize="9" scale="48" fitToHeight="0" fitToWidth="0"/>
</worksheet>
</file>

<file path=xl/worksheets/sheet3.xml><?xml version="1.0" encoding="utf-8"?>
<worksheet xmlns="http://schemas.openxmlformats.org/spreadsheetml/2006/main">
  <sheetPr codeName="Sheet18">
    <tabColor rgb="FFC92AAF"/>
    <outlinePr summaryBelow="1" summaryRight="1"/>
    <pageSetUpPr/>
  </sheetPr>
  <dimension ref="A1:AD232"/>
  <sheetViews>
    <sheetView view="pageBreakPreview" zoomScale="75" zoomScaleNormal="75" workbookViewId="0">
      <selection activeCell="E86" sqref="E86:AA86"/>
    </sheetView>
  </sheetViews>
  <sheetFormatPr baseColWidth="8" defaultColWidth="0" defaultRowHeight="15.75" customHeight="1" zeroHeight="1"/>
  <cols>
    <col width="29.8285714285714" customWidth="1" style="89" min="1" max="1"/>
    <col width="10.8285714285714"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General Science</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5</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9</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10</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13</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14</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16</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17</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19</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21</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23</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25</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27</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32</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33</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36</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39</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40</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inlineStr">
        <is>
          <t>Use information from secondary resources to report how Louis Pasteur combined research from the fields of chemistry and biology, which has helped scientists to understand the cause of some diseases and prevent infection.</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 xml:space="preserve">Design simple practical activities or models to determine how variations in physical properties, such as shape, mass, and volume, affect an object’s ability to float in a fluid. </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 xml:space="preserve">Design simple practical activities or models to determine how variations in physical properties, such as shape, mass, and volume, affect an object’s ability to float in a fluid. </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 xml:space="preserve">Compare and contrast translational and rotational motion in terms of their respective linear and angular quantities. </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 xml:space="preserve">Propose ways to minimize energy loss and energy wastage in homes, schools, local businesses, and other parts of society. </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SHERYL LYN W. WONG</t>
        </is>
      </c>
      <c r="B101" s="417" t="n"/>
      <c r="C101" s="417" t="n"/>
      <c r="D101" s="417" t="n"/>
      <c r="E101" s="417" t="n"/>
      <c r="F101" s="183" t="n"/>
      <c r="G101" s="183" t="n"/>
      <c r="H101" s="184" t="inlineStr">
        <is>
          <t>MAYUMI GRACE A. ASUNCION</t>
        </is>
      </c>
      <c r="L101" s="185" t="n"/>
      <c r="M101" s="184" t="inlineStr">
        <is>
          <t>CHARLENE T. IRINCO</t>
        </is>
      </c>
      <c r="Q101" s="185" t="n"/>
      <c r="R101" s="184" t="inlineStr">
        <is>
          <t>AGUSTIN JR. B. FANTASTICO</t>
        </is>
      </c>
      <c r="V101" s="183" t="n"/>
      <c r="W101" s="184" t="n"/>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R105" s="184" t="inlineStr">
        <is>
          <t>JANELA C. NEPOMUCENO</t>
        </is>
      </c>
      <c r="V105" s="183" t="n"/>
      <c r="W105" s="184" t="n"/>
    </row>
    <row r="106" s="1">
      <c r="A106" s="181" t="inlineStr">
        <is>
          <t>OLGA U. Soriano</t>
        </is>
      </c>
      <c r="B106" s="417" t="n"/>
      <c r="C106" s="417" t="n"/>
      <c r="D106" s="417" t="n"/>
      <c r="E106" s="417" t="n"/>
      <c r="F106" s="329" t="n"/>
      <c r="G106" s="329" t="n"/>
      <c r="H106" s="329" t="n"/>
      <c r="I106" s="329" t="n"/>
      <c r="J106" s="329" t="n"/>
      <c r="K106" s="329" t="n"/>
      <c r="L106" s="329" t="n"/>
      <c r="M106" s="329" t="n"/>
      <c r="N106" s="329" t="n"/>
      <c r="O106" s="329" t="n"/>
      <c r="P106" s="329" t="n"/>
      <c r="Q106" s="329" t="n"/>
      <c r="R106" s="189" t="inlineStr">
        <is>
          <t>Subject Teacher</t>
        </is>
      </c>
      <c r="S106" s="415" t="n"/>
      <c r="T106" s="415" t="n"/>
      <c r="U106" s="415"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329" t="n"/>
      <c r="I107" s="329" t="n"/>
      <c r="J107" s="329" t="n"/>
      <c r="K107" s="329" t="n"/>
      <c r="L107" s="329" t="n"/>
      <c r="M107" s="329" t="n"/>
      <c r="N107" s="329" t="n"/>
      <c r="O107" s="329" t="n"/>
      <c r="P107" s="329"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73" t="inlineStr">
        <is>
          <t>OVERALL</t>
        </is>
      </c>
      <c r="X192" s="268" t="n"/>
    </row>
    <row r="193" customFormat="1" s="69">
      <c r="A193" s="27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75">
        <f>IF(SUM(B193:V193)=0,"",SUM(B193:V193))</f>
        <v/>
      </c>
      <c r="X193" s="276" t="inlineStr">
        <is>
          <t>Number of Examinees</t>
        </is>
      </c>
    </row>
    <row r="194" customFormat="1" s="69">
      <c r="A194" s="277" t="inlineStr">
        <is>
          <t>Highly Proficient (55 - 60)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75">
        <f>IF($W$193="","",SUM(B194:V194))</f>
        <v/>
      </c>
      <c r="X194" s="278" t="inlineStr">
        <is>
          <t>Highly Proficient</t>
        </is>
      </c>
    </row>
    <row r="195" customFormat="1" s="69">
      <c r="A195" s="277" t="inlineStr">
        <is>
          <t>Proficient (46 - 54)</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75">
        <f>IF($W$193="","",SUM(B195:V195))</f>
        <v/>
      </c>
      <c r="X195" s="278" t="inlineStr">
        <is>
          <t>Proficient</t>
        </is>
      </c>
    </row>
    <row r="196" customFormat="1" s="69">
      <c r="A196" s="277" t="inlineStr">
        <is>
          <t>Nearly Proficient (31 - 45)</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75">
        <f>IF($W$193="","",SUM(B196:V196))</f>
        <v/>
      </c>
      <c r="X196" s="278" t="inlineStr">
        <is>
          <t>Nearly Proficient</t>
        </is>
      </c>
    </row>
    <row r="197" customFormat="1" s="69">
      <c r="A197" s="277" t="inlineStr">
        <is>
          <t>Low Proficient (16 - 30)</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75">
        <f>IF($W$193="","",SUM(B197:V197))</f>
        <v/>
      </c>
      <c r="X197" s="278" t="inlineStr">
        <is>
          <t>Low Proficient</t>
        </is>
      </c>
    </row>
    <row r="198" ht="29.25" customFormat="1" customHeight="1" s="69">
      <c r="A198" s="277" t="inlineStr">
        <is>
          <t>Not Proficient (0 - 15)</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75">
        <f>IF($W$193="","",SUM(B198:V198))</f>
        <v/>
      </c>
      <c r="X198" s="278" t="inlineStr">
        <is>
          <t>Not Proficient</t>
        </is>
      </c>
    </row>
    <row r="199" customFormat="1" s="69">
      <c r="A199" s="279"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75">
        <f>IF($W$193="","",SUM(B199:V199))</f>
        <v/>
      </c>
      <c r="X199" s="278" t="inlineStr">
        <is>
          <t>Sum of scores</t>
        </is>
      </c>
    </row>
    <row r="200" ht="35.25" customFormat="1" customHeight="1" s="69">
      <c r="A200" s="279"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80">
        <f>IFERROR(SUM(B123:V192)/W193,"")</f>
        <v/>
      </c>
      <c r="X200" s="278" t="inlineStr">
        <is>
          <t>Mean</t>
        </is>
      </c>
    </row>
    <row r="201" ht="35.25" customFormat="1" customHeight="1" s="69">
      <c r="A201" s="279"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80">
        <f>IFERROR(STDEV(B123:V192),"")</f>
        <v/>
      </c>
      <c r="X201" s="278" t="inlineStr">
        <is>
          <t>SD</t>
        </is>
      </c>
    </row>
    <row r="202" ht="39.75" customFormat="1" customHeight="1" s="69">
      <c r="A202" s="281" t="inlineStr">
        <is>
          <t>MPS</t>
        </is>
      </c>
      <c r="B202" s="282">
        <f>IFERROR((B200/B216)*100,"")</f>
        <v/>
      </c>
      <c r="C202" s="282">
        <f>IFERROR((C200/C216)*100,"")</f>
        <v/>
      </c>
      <c r="D202" s="282">
        <f>IFERROR((D200/D216)*100,"")</f>
        <v/>
      </c>
      <c r="E202" s="282">
        <f>IFERROR((E200/E216)*100,"")</f>
        <v/>
      </c>
      <c r="F202" s="282">
        <f>IFERROR((F200/F216)*100,"")</f>
        <v/>
      </c>
      <c r="G202" s="282">
        <f>IFERROR((G200/G216)*100,"")</f>
        <v/>
      </c>
      <c r="H202" s="282">
        <f>IFERROR((H200/H216)*100,"")</f>
        <v/>
      </c>
      <c r="I202" s="282">
        <f>IFERROR((I200/I216)*100,"")</f>
        <v/>
      </c>
      <c r="J202" s="282">
        <f>IFERROR((J200/J216)*100,"")</f>
        <v/>
      </c>
      <c r="K202" s="282">
        <f>IFERROR((K200/K216)*100,"")</f>
        <v/>
      </c>
      <c r="L202" s="282">
        <f>IFERROR((L200/L216)*100,"")</f>
        <v/>
      </c>
      <c r="M202" s="282">
        <f>IFERROR((M200/M216)*100,"")</f>
        <v/>
      </c>
      <c r="N202" s="282">
        <f>IFERROR((N200/N216)*100,"")</f>
        <v/>
      </c>
      <c r="O202" s="282">
        <f>IFERROR((O200/O216)*100,"")</f>
        <v/>
      </c>
      <c r="P202" s="282">
        <f>IFERROR((P200/P216)*100,"")</f>
        <v/>
      </c>
      <c r="Q202" s="282">
        <f>IFERROR((Q200/Q216)*100,"")</f>
        <v/>
      </c>
      <c r="R202" s="282">
        <f>IFERROR((R200/R216)*100,"")</f>
        <v/>
      </c>
      <c r="S202" s="282">
        <f>IFERROR((S200/S216)*100,"")</f>
        <v/>
      </c>
      <c r="T202" s="282">
        <f>IFERROR((T200/T216)*100,"")</f>
        <v/>
      </c>
      <c r="U202" s="282">
        <f>IFERROR((U200/U216)*100,"")</f>
        <v/>
      </c>
      <c r="V202" s="282">
        <f>IFERROR((V200/V216)*100,"")</f>
        <v/>
      </c>
      <c r="W202" s="280">
        <f>IFERROR(W200/W216*100,"")</f>
        <v/>
      </c>
      <c r="X202" s="278" t="inlineStr">
        <is>
          <t>MPS</t>
        </is>
      </c>
    </row>
    <row r="203" ht="40" customFormat="1" customHeight="1" s="69">
      <c r="A203" s="283" t="inlineStr">
        <is>
          <t># of Examinees who got 75% and above</t>
        </is>
      </c>
      <c r="B203" s="284">
        <f>IF(B193="","",COUNTIFS(B123:B192,"&gt;="&amp;$B$213))</f>
        <v/>
      </c>
      <c r="C203" s="284">
        <f>IF(C193="","",COUNTIFS(C123:C192,"&gt;="&amp;$B$213))</f>
        <v/>
      </c>
      <c r="D203" s="284">
        <f>IF(D193="","",COUNTIFS(D123:D192,"&gt;="&amp;$B$213))</f>
        <v/>
      </c>
      <c r="E203" s="284">
        <f>IF(E193="","",COUNTIFS(E123:E192,"&gt;="&amp;$B$213))</f>
        <v/>
      </c>
      <c r="F203" s="284">
        <f>IF(F193="","",COUNTIFS(F123:F192,"&gt;="&amp;$B$213))</f>
        <v/>
      </c>
      <c r="G203" s="284">
        <f>IF(G193="","",COUNTIFS(G123:G192,"&gt;="&amp;$B$213))</f>
        <v/>
      </c>
      <c r="H203" s="284">
        <f>IF(H193="","",COUNTIFS(H123:H192,"&gt;="&amp;$B$213))</f>
        <v/>
      </c>
      <c r="I203" s="284">
        <f>IF(I193="","",COUNTIFS(I123:I192,"&gt;="&amp;$B$213))</f>
        <v/>
      </c>
      <c r="J203" s="284">
        <f>IF(J193="","",COUNTIFS(J123:J192,"&gt;="&amp;$B$213))</f>
        <v/>
      </c>
      <c r="K203" s="284">
        <f>IF(K193="","",COUNTIFS(K123:K192,"&gt;="&amp;$B$213))</f>
        <v/>
      </c>
      <c r="L203" s="284">
        <f>IF(L193="","",COUNTIFS(L123:L192,"&gt;="&amp;$B$213))</f>
        <v/>
      </c>
      <c r="M203" s="284">
        <f>IF(M193="","",COUNTIFS(M123:M192,"&gt;="&amp;$B$213))</f>
        <v/>
      </c>
      <c r="N203" s="284">
        <f>IF(N193="","",COUNTIFS(N123:N192,"&gt;="&amp;$B$213))</f>
        <v/>
      </c>
      <c r="O203" s="284">
        <f>IF(O193="","",COUNTIFS(O123:O192,"&gt;="&amp;$B$213))</f>
        <v/>
      </c>
      <c r="P203" s="284">
        <f>IF(P193="","",COUNTIFS(P123:P192,"&gt;="&amp;$B$213))</f>
        <v/>
      </c>
      <c r="Q203" s="284">
        <f>IF(Q193="","",COUNTIFS(Q123:Q192,"&gt;="&amp;$B$213))</f>
        <v/>
      </c>
      <c r="R203" s="284">
        <f>IF(R193="","",COUNTIFS(R123:R192,"&gt;="&amp;$B$213))</f>
        <v/>
      </c>
      <c r="S203" s="284">
        <f>IF(S193="","",COUNTIFS(S123:S192,"&gt;="&amp;$B$213))</f>
        <v/>
      </c>
      <c r="T203" s="284">
        <f>IF(T193="","",COUNTIFS(T123:T192,"&gt;="&amp;$B$213))</f>
        <v/>
      </c>
      <c r="U203" s="284">
        <f>IF(U193="","",COUNTIFS(U123:U192,"&gt;="&amp;$B$213))</f>
        <v/>
      </c>
      <c r="V203" s="284">
        <f>IF(V193="","",COUNTIFS(V123:V192,"&gt;="&amp;$B$213))</f>
        <v/>
      </c>
      <c r="W203" s="285">
        <f>IF($W$193="","",SUM(B204:V204))</f>
        <v/>
      </c>
      <c r="X203" s="286" t="inlineStr">
        <is>
          <t># of Examinees who got 75% and above</t>
        </is>
      </c>
    </row>
    <row r="204" ht="30.75" customFormat="1" customHeight="1" s="69">
      <c r="A204" s="283" t="inlineStr">
        <is>
          <t># of Examinees who got below 75%</t>
        </is>
      </c>
      <c r="B204" s="284">
        <f>IF(B193="","",COUNTIFS(B123:B192,"&lt;"&amp;$B$213))</f>
        <v/>
      </c>
      <c r="C204" s="284">
        <f>IF(C193="","",COUNTIFS(C123:C192,"&lt;"&amp;$B$213))</f>
        <v/>
      </c>
      <c r="D204" s="284">
        <f>IF(D193="","",COUNTIFS(D123:D192,"&lt;"&amp;$B$213))</f>
        <v/>
      </c>
      <c r="E204" s="284">
        <f>IF(E193="","",COUNTIFS(E123:E192,"&lt;"&amp;$B$213))</f>
        <v/>
      </c>
      <c r="F204" s="284">
        <f>IF(F193="","",COUNTIFS(F123:F192,"&lt;"&amp;$B$213))</f>
        <v/>
      </c>
      <c r="G204" s="284">
        <f>IF(G193="","",COUNTIFS(G123:G192,"&lt;"&amp;$B$213))</f>
        <v/>
      </c>
      <c r="H204" s="284">
        <f>IF(H193="","",COUNTIFS(H123:H192,"&lt;"&amp;$B$213))</f>
        <v/>
      </c>
      <c r="I204" s="284">
        <f>IF(I193="","",COUNTIFS(I123:I192,"&lt;"&amp;$B$213))</f>
        <v/>
      </c>
      <c r="J204" s="284">
        <f>IF(J193="","",COUNTIFS(J123:J192,"&lt;"&amp;$B$213))</f>
        <v/>
      </c>
      <c r="K204" s="284">
        <f>IF(K193="","",COUNTIFS(K123:K192,"&lt;"&amp;$B$213))</f>
        <v/>
      </c>
      <c r="L204" s="284">
        <f>IF(L193="","",COUNTIFS(L123:L192,"&lt;"&amp;$B$213))</f>
        <v/>
      </c>
      <c r="M204" s="284">
        <f>IF(M193="","",COUNTIFS(M123:M192,"&lt;"&amp;$B$213))</f>
        <v/>
      </c>
      <c r="N204" s="284">
        <f>IF(N193="","",COUNTIFS(N123:N192,"&lt;"&amp;$B$213))</f>
        <v/>
      </c>
      <c r="O204" s="284">
        <f>IF(O193="","",COUNTIFS(O123:O192,"&lt;"&amp;$B$213))</f>
        <v/>
      </c>
      <c r="P204" s="284">
        <f>IF(P193="","",COUNTIFS(P123:P192,"&lt;"&amp;$B$213))</f>
        <v/>
      </c>
      <c r="Q204" s="284">
        <f>IF(Q193="","",COUNTIFS(Q123:Q192,"&lt;"&amp;$B$213))</f>
        <v/>
      </c>
      <c r="R204" s="284">
        <f>IF(R193="","",COUNTIFS(R123:R192,"&lt;"&amp;$B$213))</f>
        <v/>
      </c>
      <c r="S204" s="284">
        <f>IF(S193="","",COUNTIFS(S123:S192,"&lt;"&amp;$B$213))</f>
        <v/>
      </c>
      <c r="T204" s="284">
        <f>IF(T193="","",COUNTIFS(T123:T192,"&lt;"&amp;$B$213))</f>
        <v/>
      </c>
      <c r="U204" s="284">
        <f>IF(U193="","",COUNTIFS(U123:U192,"&lt;"&amp;$B$213))</f>
        <v/>
      </c>
      <c r="V204" s="284">
        <f>IF(V193="","",COUNTIFS(V123:V192,"&lt;"&amp;$B$213))</f>
        <v/>
      </c>
      <c r="W204" s="285">
        <f>IF($W$193="","",SUM(B205:V205))</f>
        <v/>
      </c>
      <c r="X204" s="286" t="inlineStr">
        <is>
          <t># of Examinees who got below 75%</t>
        </is>
      </c>
    </row>
    <row r="205" ht="15" customFormat="1" customHeight="1" s="69">
      <c r="A205" s="287" t="inlineStr">
        <is>
          <t>*HS - HIGHEST SCORE</t>
        </is>
      </c>
      <c r="B205" s="288">
        <f>IF(B193="","",MAX(B123:B192))</f>
        <v/>
      </c>
      <c r="C205" s="288">
        <f>IF(C193="","",MAX(C123:C192))</f>
        <v/>
      </c>
      <c r="D205" s="288">
        <f>IF(D193="","",MAX(D123:D192))</f>
        <v/>
      </c>
      <c r="E205" s="288">
        <f>IF(E193="","",MAX(E123:E192))</f>
        <v/>
      </c>
      <c r="F205" s="288">
        <f>IF(F193="","",MAX(F123:F192))</f>
        <v/>
      </c>
      <c r="G205" s="288">
        <f>IF(G193="","",MAX(G123:G192))</f>
        <v/>
      </c>
      <c r="H205" s="288">
        <f>IF(H193="","",MAX(H123:H192))</f>
        <v/>
      </c>
      <c r="I205" s="288">
        <f>IF(I193="","",MAX(I123:I192))</f>
        <v/>
      </c>
      <c r="J205" s="288">
        <f>IF(J193="","",MAX(J123:J192))</f>
        <v/>
      </c>
      <c r="K205" s="288">
        <f>IF(K193="","",MAX(K123:K192))</f>
        <v/>
      </c>
      <c r="L205" s="288">
        <f>IF(L193="","",MAX(L123:L192))</f>
        <v/>
      </c>
      <c r="M205" s="288">
        <f>IF(M193="","",MAX(M123:M192))</f>
        <v/>
      </c>
      <c r="N205" s="288">
        <f>IF(N193="","",MAX(N123:N192))</f>
        <v/>
      </c>
      <c r="O205" s="288">
        <f>IF(O193="","",MAX(O123:O192))</f>
        <v/>
      </c>
      <c r="P205" s="288">
        <f>IF(P193="","",MAX(P123:P192))</f>
        <v/>
      </c>
      <c r="Q205" s="288">
        <f>IF(Q193="","",MAX(Q123:Q192))</f>
        <v/>
      </c>
      <c r="R205" s="288">
        <f>IF(R193="","",MAX(R123:R192))</f>
        <v/>
      </c>
      <c r="S205" s="288">
        <f>IF(S193="","",MAX(S123:S192))</f>
        <v/>
      </c>
      <c r="T205" s="288">
        <f>IF(T193="","",MAX(T123:T192))</f>
        <v/>
      </c>
      <c r="U205" s="288">
        <f>IF(U193="","",MAX(U123:U192))</f>
        <v/>
      </c>
      <c r="V205" s="288">
        <f>IF(V193="","",MAX(V123:V192))</f>
        <v/>
      </c>
      <c r="W205" s="289" t="n"/>
      <c r="X205" s="69" t="n"/>
    </row>
    <row r="206" ht="15" customFormat="1" customHeight="1" s="69">
      <c r="A206" s="287" t="inlineStr">
        <is>
          <t>*LS - LOWEST SCORE</t>
        </is>
      </c>
      <c r="B206" s="288">
        <f>IF(B193="","",MIN(B123:B192))</f>
        <v/>
      </c>
      <c r="C206" s="288">
        <f>IF(C193="","",MIN(C123:C192))</f>
        <v/>
      </c>
      <c r="D206" s="288">
        <f>IF(D193="","",MIN(D123:D192))</f>
        <v/>
      </c>
      <c r="E206" s="288">
        <f>IF(E193="","",MIN(E123:E192))</f>
        <v/>
      </c>
      <c r="F206" s="288">
        <f>IF(F193="","",MIN(F123:F192))</f>
        <v/>
      </c>
      <c r="G206" s="288">
        <f>IF(G193="","",MIN(G123:G192))</f>
        <v/>
      </c>
      <c r="H206" s="288">
        <f>IF(H193="","",MIN(H123:H192))</f>
        <v/>
      </c>
      <c r="I206" s="288">
        <f>IF(I193="","",MIN(I123:I192))</f>
        <v/>
      </c>
      <c r="J206" s="288">
        <f>IF(J193="","",MIN(J123:J192))</f>
        <v/>
      </c>
      <c r="K206" s="288">
        <f>IF(K193="","",MIN(K123:K192))</f>
        <v/>
      </c>
      <c r="L206" s="288">
        <f>IF(L193="","",MIN(L123:L192))</f>
        <v/>
      </c>
      <c r="M206" s="288">
        <f>IF(M193="","",MIN(M123:M192))</f>
        <v/>
      </c>
      <c r="N206" s="288">
        <f>IF(N193="","",MIN(N123:N192))</f>
        <v/>
      </c>
      <c r="O206" s="288">
        <f>IF(O193="","",MIN(O123:O192))</f>
        <v/>
      </c>
      <c r="P206" s="288">
        <f>IF(P193="","",MIN(P123:P192))</f>
        <v/>
      </c>
      <c r="Q206" s="288">
        <f>IF(Q193="","",MIN(Q123:Q192))</f>
        <v/>
      </c>
      <c r="R206" s="288">
        <f>IF(R193="","",MIN(R123:R192))</f>
        <v/>
      </c>
      <c r="S206" s="288">
        <f>IF(S193="","",MIN(S123:S192))</f>
        <v/>
      </c>
      <c r="T206" s="288">
        <f>IF(T193="","",MIN(T123:T192))</f>
        <v/>
      </c>
      <c r="U206" s="288">
        <f>IF(U193="","",MIN(U123:U192))</f>
        <v/>
      </c>
      <c r="V206" s="288">
        <f>IF(V193="","",MIN(V123:V192))</f>
        <v/>
      </c>
      <c r="W206" s="289" t="n"/>
      <c r="X206" s="69" t="n"/>
    </row>
    <row r="207" ht="15" customHeight="1" s="1">
      <c r="A207" s="269" t="n"/>
      <c r="B207" s="89" t="n"/>
      <c r="C207" s="89" t="n"/>
      <c r="D207" s="89" t="n"/>
      <c r="E207" s="89" t="n"/>
      <c r="F207" s="89" t="n"/>
      <c r="G207" s="89" t="n"/>
      <c r="H207" s="89" t="n"/>
      <c r="I207" s="89" t="n"/>
      <c r="J207" s="89" t="n"/>
      <c r="K207" s="89" t="n"/>
      <c r="L207" s="89" t="n"/>
      <c r="M207" s="89" t="n"/>
      <c r="N207" s="89" t="n"/>
      <c r="O207" s="89" t="n"/>
      <c r="P207" s="89" t="n"/>
      <c r="Q207" s="89" t="n"/>
      <c r="R207" s="89" t="n"/>
      <c r="S207" s="89" t="n"/>
      <c r="T207" s="89" t="n"/>
      <c r="U207" s="89" t="n"/>
      <c r="V207" s="89" t="n"/>
      <c r="W207" s="8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4">
    <mergeCell ref="B7:F7"/>
    <mergeCell ref="E210:F210"/>
    <mergeCell ref="Q94:R95"/>
    <mergeCell ref="K90:R91"/>
    <mergeCell ref="B3:F3"/>
    <mergeCell ref="H101:K101"/>
    <mergeCell ref="A88:B88"/>
    <mergeCell ref="R102:U102"/>
    <mergeCell ref="B2:F2"/>
    <mergeCell ref="K92:P93"/>
    <mergeCell ref="E87:AA87"/>
    <mergeCell ref="H95:J95"/>
    <mergeCell ref="J5:V5"/>
    <mergeCell ref="K94:P95"/>
    <mergeCell ref="C95:G95"/>
    <mergeCell ref="H92:J92"/>
    <mergeCell ref="A85:B85"/>
    <mergeCell ref="X76:AA79"/>
    <mergeCell ref="Q96:R97"/>
    <mergeCell ref="B6:F6"/>
    <mergeCell ref="J4:V4"/>
    <mergeCell ref="W102:Z102"/>
    <mergeCell ref="R106:U106"/>
    <mergeCell ref="R105:U105"/>
    <mergeCell ref="C89:J89"/>
    <mergeCell ref="A87:B87"/>
    <mergeCell ref="W101:Z101"/>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B1:F1"/>
    <mergeCell ref="F97:J97"/>
    <mergeCell ref="C90:J90"/>
    <mergeCell ref="E212:F212"/>
    <mergeCell ref="R101:U101"/>
    <mergeCell ref="A112:E112"/>
    <mergeCell ref="C96:G96"/>
    <mergeCell ref="E214:F214"/>
    <mergeCell ref="C92:G92"/>
    <mergeCell ref="B12:V12"/>
    <mergeCell ref="H94:J94"/>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General Science"/>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4.xml><?xml version="1.0" encoding="utf-8"?>
<worksheet xmlns="http://schemas.openxmlformats.org/spreadsheetml/2006/main">
  <sheetPr codeName="Sheet19">
    <tabColor rgb="FFC92AAF"/>
    <outlinePr summaryBelow="1" summaryRight="1"/>
    <pageSetUpPr/>
  </sheetPr>
  <dimension ref="A1:AD232"/>
  <sheetViews>
    <sheetView view="pageBreakPreview" topLeftCell="A17" zoomScale="75" zoomScaleNormal="75" workbookViewId="0">
      <selection activeCell="H92" sqref="H92:J92"/>
    </sheetView>
  </sheetViews>
  <sheetFormatPr baseColWidth="8" defaultColWidth="0" defaultRowHeight="15.75" customHeight="1" zeroHeight="1"/>
  <cols>
    <col width="33.5047619047619"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General Mathematics</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5</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9</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12</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12</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16</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19</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22</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24</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25</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28</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32</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32</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36</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39</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41</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41</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inlineStr">
        <is>
          <t>Solve routine and localized real-life problems involving volume with accuracy.</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Solve real-life problems involving the surface area of cubes, prisms, pyramids, cylinders, cones, and spheres with accuracy.</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 xml:space="preserve"> Apply scientific notation to solve real-life problems involving very large and very small measurements.</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 xml:space="preserve"> Apply scientific notation to solve real-life problems involving very large and very small measurements.</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Identify and explain concepts and formulas for finding the volume of cubes, rectangular prisms, cylinders, spheres, cones, triangular prisms, square pyramids, and hemispheres.</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 xml:space="preserve">MARY ANGELIE M. AMBOJIA				</t>
        </is>
      </c>
      <c r="B101" s="417" t="n"/>
      <c r="C101" s="417" t="n"/>
      <c r="D101" s="417" t="n"/>
      <c r="E101" s="417" t="n"/>
      <c r="F101" s="183" t="n"/>
      <c r="G101" s="183" t="n"/>
      <c r="H101" s="184" t="n"/>
      <c r="L101" s="185" t="n"/>
      <c r="M101" s="184" t="n"/>
      <c r="Q101" s="185" t="n"/>
      <c r="R101" s="184" t="n"/>
      <c r="V101" s="183" t="n"/>
      <c r="W101" s="184" t="n"/>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R105" s="184" t="n"/>
      <c r="V105" s="183" t="n"/>
      <c r="W105" s="184" t="n"/>
    </row>
    <row r="106" s="1">
      <c r="A106" s="181" t="inlineStr">
        <is>
          <t xml:space="preserve">ROMUALDO QUEZADA </t>
        </is>
      </c>
      <c r="B106" s="417" t="n"/>
      <c r="C106" s="417" t="n"/>
      <c r="D106" s="417" t="n"/>
      <c r="E106" s="417" t="n"/>
      <c r="F106" s="329" t="n"/>
      <c r="G106" s="329" t="n"/>
      <c r="H106" s="329" t="n"/>
      <c r="I106" s="329" t="n"/>
      <c r="J106" s="329" t="n"/>
      <c r="K106" s="329" t="n"/>
      <c r="L106" s="329" t="n"/>
      <c r="M106" s="329" t="n"/>
      <c r="N106" s="329" t="n"/>
      <c r="O106" s="329" t="n"/>
      <c r="P106" s="329" t="n"/>
      <c r="Q106" s="329" t="n"/>
      <c r="R106" s="189" t="inlineStr">
        <is>
          <t>Subject Teacher</t>
        </is>
      </c>
      <c r="S106" s="415" t="n"/>
      <c r="T106" s="415" t="n"/>
      <c r="U106" s="415"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329" t="n"/>
      <c r="I107" s="329" t="n"/>
      <c r="J107" s="329" t="n"/>
      <c r="K107" s="329" t="n"/>
      <c r="L107" s="329" t="n"/>
      <c r="M107" s="329" t="n"/>
      <c r="N107" s="329" t="n"/>
      <c r="O107" s="329" t="n"/>
      <c r="P107" s="329"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(55 - 60)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(46 - 54)</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(31 - 45)</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(16 - 30)</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(0 - 15)</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4">
    <mergeCell ref="B7:F7"/>
    <mergeCell ref="E210:F210"/>
    <mergeCell ref="Q94:R95"/>
    <mergeCell ref="K90:R91"/>
    <mergeCell ref="B3:F3"/>
    <mergeCell ref="H101:K101"/>
    <mergeCell ref="A88:B88"/>
    <mergeCell ref="R102:U102"/>
    <mergeCell ref="B2:F2"/>
    <mergeCell ref="K92:P93"/>
    <mergeCell ref="E87:AA87"/>
    <mergeCell ref="H95:J95"/>
    <mergeCell ref="J5:V5"/>
    <mergeCell ref="K94:P95"/>
    <mergeCell ref="C95:G95"/>
    <mergeCell ref="H92:J92"/>
    <mergeCell ref="A85:B85"/>
    <mergeCell ref="X76:AA79"/>
    <mergeCell ref="Q96:R97"/>
    <mergeCell ref="B6:F6"/>
    <mergeCell ref="J4:V4"/>
    <mergeCell ref="W102:Z102"/>
    <mergeCell ref="R106:U106"/>
    <mergeCell ref="R105:U105"/>
    <mergeCell ref="C89:J89"/>
    <mergeCell ref="A87:B87"/>
    <mergeCell ref="W101:Z101"/>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B1:F1"/>
    <mergeCell ref="F97:J97"/>
    <mergeCell ref="C90:J90"/>
    <mergeCell ref="E212:F212"/>
    <mergeCell ref="R101:U101"/>
    <mergeCell ref="A112:E112"/>
    <mergeCell ref="C96:G96"/>
    <mergeCell ref="E214:F214"/>
    <mergeCell ref="C92:G92"/>
    <mergeCell ref="B12:V12"/>
    <mergeCell ref="H94:J94"/>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General Mathematics"/>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5.xml><?xml version="1.0" encoding="utf-8"?>
<worksheet xmlns="http://schemas.openxmlformats.org/spreadsheetml/2006/main">
  <sheetPr codeName="Sheet25">
    <tabColor rgb="FF00B050"/>
    <outlinePr summaryBelow="1" summaryRight="1"/>
    <pageSetUpPr/>
  </sheetPr>
  <dimension ref="A1:AS232"/>
  <sheetViews>
    <sheetView view="pageBreakPreview" zoomScale="75" zoomScaleNormal="75" workbookViewId="0">
      <selection activeCell="A76" sqref="A76"/>
    </sheetView>
  </sheetViews>
  <sheetFormatPr baseColWidth="8" defaultColWidth="0" defaultRowHeight="15.75" customHeight="1" zeroHeight="1"/>
  <cols>
    <col width="26.8285714285714"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45"/>
    <col hidden="1" style="89" min="46"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Contemporary Literature 1</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4</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6</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8</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11</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13</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14</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14</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14</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18</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18</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21</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23</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25</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25</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28</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28</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30</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32</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32</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34</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34</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38</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40</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42</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46</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48</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52</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52</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inlineStr">
        <is>
          <t xml:space="preserve">-	Use a variety of approaches to make meaning of the world through written, spoken and multimodal texts, including short stories or a novella. </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	Identify recurring themes in Philippine and global literary texts (e.g., cultural identity, justice seeking, migration, protest and resistance).</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	Demonstrate understanding and appreciation of how composers use forms and features purposefully to engage responders at a personal level.</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 xml:space="preserve">-	Demonstrate understanding and appreciation of how composers use forms and features purposefully to shape and challenge cultural and social assumptions, understandings, and perspectives. </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 xml:space="preserve">-	Respond to literary texts in ways that promote social connection (e.g., discussion, book club, team-based games such as ‘hot seat’, group presentations, collaborative essays). </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262">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c r="AC89" s="262" t="n"/>
      <c r="AD89" s="262" t="n"/>
      <c r="AE89" s="262" t="n"/>
      <c r="AF89" s="262" t="n"/>
      <c r="AG89" s="262" t="n"/>
      <c r="AH89" s="262" t="n"/>
      <c r="AI89" s="262" t="n"/>
      <c r="AJ89" s="262" t="n"/>
      <c r="AK89" s="262" t="n"/>
      <c r="AL89" s="262" t="n"/>
      <c r="AM89" s="262" t="n"/>
      <c r="AN89" s="262" t="n"/>
      <c r="AO89" s="262" t="n"/>
      <c r="AP89" s="262" t="n"/>
      <c r="AQ89" s="262" t="n"/>
      <c r="AR89" s="262" t="n"/>
      <c r="AS89" s="262" t="n"/>
    </row>
    <row r="90" ht="34.25" customFormat="1" customHeight="1" s="26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c r="AC90" s="265" t="n"/>
      <c r="AD90" s="265" t="n"/>
      <c r="AE90" s="265" t="n"/>
      <c r="AF90" s="265" t="n"/>
      <c r="AG90" s="265" t="n"/>
      <c r="AH90" s="265" t="n"/>
      <c r="AI90" s="265" t="n"/>
      <c r="AJ90" s="265" t="n"/>
      <c r="AK90" s="265" t="n"/>
      <c r="AL90" s="265" t="n"/>
      <c r="AM90" s="265" t="n"/>
      <c r="AN90" s="265" t="n"/>
      <c r="AO90" s="265" t="n"/>
      <c r="AP90" s="265" t="n"/>
      <c r="AQ90" s="265" t="n"/>
      <c r="AR90" s="265" t="n"/>
      <c r="AS90" s="265" t="n"/>
    </row>
    <row r="91" ht="33.5" customFormat="1" customHeight="1" s="262">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c r="AC91" s="262" t="n"/>
      <c r="AD91" s="262" t="n"/>
      <c r="AE91" s="262" t="n"/>
      <c r="AF91" s="262" t="n"/>
      <c r="AG91" s="262" t="n"/>
      <c r="AH91" s="262" t="n"/>
      <c r="AI91" s="262" t="n"/>
      <c r="AJ91" s="262" t="n"/>
      <c r="AK91" s="262" t="n"/>
      <c r="AL91" s="262" t="n"/>
      <c r="AM91" s="262" t="n"/>
      <c r="AN91" s="262" t="n"/>
      <c r="AO91" s="262" t="n"/>
      <c r="AP91" s="262" t="n"/>
      <c r="AQ91" s="262" t="n"/>
      <c r="AR91" s="262" t="n"/>
      <c r="AS91" s="262" t="n"/>
    </row>
    <row r="92" ht="17.5" customFormat="1" customHeight="1" s="262">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c r="AC92" s="262" t="n"/>
      <c r="AD92" s="262" t="n"/>
      <c r="AE92" s="262" t="n"/>
      <c r="AF92" s="262" t="n"/>
      <c r="AG92" s="262" t="n"/>
      <c r="AH92" s="262" t="n"/>
      <c r="AI92" s="262" t="n"/>
      <c r="AJ92" s="262" t="n"/>
      <c r="AK92" s="262" t="n"/>
      <c r="AL92" s="262" t="n"/>
      <c r="AM92" s="262" t="n"/>
      <c r="AN92" s="262" t="n"/>
      <c r="AO92" s="262" t="n"/>
      <c r="AP92" s="262" t="n"/>
      <c r="AQ92" s="262" t="n"/>
      <c r="AR92" s="262" t="n"/>
      <c r="AS92" s="262" t="n"/>
    </row>
    <row r="93" ht="31" customFormat="1" customHeight="1" s="262">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c r="AC93" s="262" t="n"/>
      <c r="AD93" s="262" t="n"/>
      <c r="AE93" s="262" t="n"/>
      <c r="AF93" s="262" t="n"/>
      <c r="AG93" s="262" t="n"/>
      <c r="AH93" s="262" t="n"/>
      <c r="AI93" s="262" t="n"/>
      <c r="AJ93" s="262" t="n"/>
      <c r="AK93" s="262" t="n"/>
      <c r="AL93" s="262" t="n"/>
      <c r="AM93" s="262" t="n"/>
      <c r="AN93" s="262" t="n"/>
      <c r="AO93" s="262" t="n"/>
      <c r="AP93" s="262" t="n"/>
      <c r="AQ93" s="262" t="n"/>
      <c r="AR93" s="262" t="n"/>
      <c r="AS93" s="262" t="n"/>
    </row>
    <row r="94" ht="20.25" customFormat="1" customHeight="1" s="262">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c r="AC94" s="262" t="n"/>
      <c r="AD94" s="262" t="n"/>
      <c r="AE94" s="262" t="n"/>
      <c r="AF94" s="262" t="n"/>
      <c r="AG94" s="262" t="n"/>
      <c r="AH94" s="262" t="n"/>
      <c r="AI94" s="262" t="n"/>
      <c r="AJ94" s="262" t="n"/>
      <c r="AK94" s="262" t="n"/>
      <c r="AL94" s="262" t="n"/>
      <c r="AM94" s="262" t="n"/>
      <c r="AN94" s="262" t="n"/>
      <c r="AO94" s="262" t="n"/>
      <c r="AP94" s="262" t="n"/>
      <c r="AQ94" s="262" t="n"/>
      <c r="AR94" s="262" t="n"/>
      <c r="AS94" s="262" t="n"/>
    </row>
    <row r="95" ht="20.25" customFormat="1" customHeight="1" s="262">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c r="AC95" s="262" t="n"/>
      <c r="AD95" s="262" t="n"/>
      <c r="AE95" s="262" t="n"/>
      <c r="AF95" s="262" t="n"/>
      <c r="AG95" s="262" t="n"/>
      <c r="AH95" s="262" t="n"/>
      <c r="AI95" s="262" t="n"/>
      <c r="AJ95" s="262" t="n"/>
      <c r="AK95" s="262" t="n"/>
      <c r="AL95" s="262" t="n"/>
      <c r="AM95" s="262" t="n"/>
      <c r="AN95" s="262" t="n"/>
      <c r="AO95" s="262" t="n"/>
      <c r="AP95" s="262" t="n"/>
      <c r="AQ95" s="262" t="n"/>
      <c r="AR95" s="262" t="n"/>
      <c r="AS95" s="262" t="n"/>
    </row>
    <row r="96" ht="18" customFormat="1" customHeight="1" s="262">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c r="AC96" s="262" t="n"/>
      <c r="AD96" s="262" t="n"/>
      <c r="AE96" s="262" t="n"/>
      <c r="AF96" s="262" t="n"/>
      <c r="AG96" s="262" t="n"/>
      <c r="AH96" s="262" t="n"/>
      <c r="AI96" s="262" t="n"/>
      <c r="AJ96" s="262" t="n"/>
      <c r="AK96" s="262" t="n"/>
      <c r="AL96" s="262" t="n"/>
      <c r="AM96" s="262" t="n"/>
      <c r="AN96" s="262" t="n"/>
      <c r="AO96" s="262" t="n"/>
      <c r="AP96" s="262" t="n"/>
      <c r="AQ96" s="262" t="n"/>
      <c r="AR96" s="262" t="n"/>
      <c r="AS96" s="262" t="n"/>
    </row>
    <row r="97" ht="59.25" customFormat="1" customHeight="1" s="262">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c r="AC97" s="262" t="n"/>
      <c r="AD97" s="262" t="n"/>
      <c r="AE97" s="262" t="n"/>
      <c r="AF97" s="262" t="n"/>
      <c r="AG97" s="262" t="n"/>
      <c r="AH97" s="262" t="n"/>
      <c r="AI97" s="262" t="n"/>
      <c r="AJ97" s="262" t="n"/>
      <c r="AK97" s="262" t="n"/>
      <c r="AL97" s="262" t="n"/>
      <c r="AM97" s="262" t="n"/>
      <c r="AN97" s="262" t="n"/>
      <c r="AO97" s="262" t="n"/>
      <c r="AP97" s="262" t="n"/>
      <c r="AQ97" s="262" t="n"/>
      <c r="AR97" s="262" t="n"/>
      <c r="AS97" s="262"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VERNALD A. SABALZA</t>
        </is>
      </c>
      <c r="B101" s="417" t="n"/>
      <c r="C101" s="417" t="n"/>
      <c r="D101" s="417" t="n"/>
      <c r="E101" s="417" t="n"/>
      <c r="F101" s="183" t="n"/>
      <c r="G101" s="183" t="n"/>
      <c r="H101" s="184" t="n"/>
      <c r="L101" s="185" t="n"/>
      <c r="M101" s="184" t="n"/>
      <c r="Q101" s="185" t="n"/>
      <c r="R101" s="184" t="n"/>
      <c r="V101" s="183" t="n"/>
      <c r="W101" s="184" t="n"/>
    </row>
    <row r="102" s="1">
      <c r="A102" s="186" t="inlineStr">
        <is>
          <t>Learning Area Key Teacher</t>
        </is>
      </c>
      <c r="B102" s="415" t="n"/>
      <c r="C102" s="415" t="n"/>
      <c r="D102" s="415" t="n"/>
      <c r="E102" s="415" t="n"/>
      <c r="F102" s="188" t="n"/>
      <c r="G102" s="188" t="n"/>
      <c r="H102" s="189" t="n"/>
      <c r="I102" s="415" t="n"/>
      <c r="J102" s="415" t="n"/>
      <c r="K102" s="415" t="n"/>
      <c r="L102" s="190" t="n"/>
      <c r="M102" s="189" t="n"/>
      <c r="N102" s="415" t="n"/>
      <c r="O102" s="415" t="n"/>
      <c r="P102" s="415" t="n"/>
      <c r="Q102" s="190" t="n"/>
      <c r="R102" s="189" t="n"/>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R105" s="184" t="n"/>
      <c r="V105" s="183" t="n"/>
      <c r="W105" s="184" t="n"/>
    </row>
    <row r="106" s="1">
      <c r="A106" s="181" t="inlineStr">
        <is>
          <t>SHEELA ANNE C. MARAAN</t>
        </is>
      </c>
      <c r="B106" s="417" t="n"/>
      <c r="C106" s="417" t="n"/>
      <c r="D106" s="417" t="n"/>
      <c r="E106" s="417" t="n"/>
      <c r="F106" s="329" t="n"/>
      <c r="G106" s="329" t="n"/>
      <c r="H106" s="329" t="n"/>
      <c r="I106" s="329" t="n"/>
      <c r="J106" s="329" t="n"/>
      <c r="K106" s="329" t="n"/>
      <c r="L106" s="329" t="n"/>
      <c r="M106" s="329" t="n"/>
      <c r="N106" s="329" t="n"/>
      <c r="O106" s="329" t="n"/>
      <c r="P106" s="329" t="n"/>
      <c r="Q106" s="329" t="n"/>
      <c r="R106" s="189" t="n"/>
      <c r="S106" s="415" t="n"/>
      <c r="T106" s="415" t="n"/>
      <c r="U106" s="415"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329" t="n"/>
      <c r="I107" s="329" t="n"/>
      <c r="J107" s="329" t="n"/>
      <c r="K107" s="329" t="n"/>
      <c r="L107" s="329" t="n"/>
      <c r="M107" s="329" t="n"/>
      <c r="N107" s="329" t="n"/>
      <c r="O107" s="329" t="n"/>
      <c r="P107" s="329"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(56 - 60)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(45 - 53)</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(30 - 44)</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(14 - 29)</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(0 - 14)</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0" selectUnlockedCells="0" sheet="1" objects="1" insertRows="1" insertHyperlinks="1" autoFilter="1" scenarios="1" formatColumns="1" deleteColumns="1" insertColumns="1" pivotTables="1" deleteRows="1" formatCells="1" formatRows="1" sort="1"/>
  <mergeCells count="84">
    <mergeCell ref="B7:F7"/>
    <mergeCell ref="E210:F210"/>
    <mergeCell ref="Q94:R95"/>
    <mergeCell ref="K90:R91"/>
    <mergeCell ref="B3:F3"/>
    <mergeCell ref="H101:K101"/>
    <mergeCell ref="A88:B88"/>
    <mergeCell ref="R102:U102"/>
    <mergeCell ref="B2:F2"/>
    <mergeCell ref="K92:P93"/>
    <mergeCell ref="E87:AA87"/>
    <mergeCell ref="H95:J95"/>
    <mergeCell ref="J5:V5"/>
    <mergeCell ref="K94:P95"/>
    <mergeCell ref="C95:G95"/>
    <mergeCell ref="H92:J92"/>
    <mergeCell ref="A85:B85"/>
    <mergeCell ref="X76:AA79"/>
    <mergeCell ref="Q96:R97"/>
    <mergeCell ref="B6:F6"/>
    <mergeCell ref="J4:V4"/>
    <mergeCell ref="W102:Z102"/>
    <mergeCell ref="R106:U106"/>
    <mergeCell ref="R105:U105"/>
    <mergeCell ref="C89:J89"/>
    <mergeCell ref="A87:B87"/>
    <mergeCell ref="W101:Z101"/>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B1:F1"/>
    <mergeCell ref="F97:J97"/>
    <mergeCell ref="C90:J90"/>
    <mergeCell ref="E212:F212"/>
    <mergeCell ref="R101:U101"/>
    <mergeCell ref="A112:E112"/>
    <mergeCell ref="C96:G96"/>
    <mergeCell ref="E214:F214"/>
    <mergeCell ref="C92:G92"/>
    <mergeCell ref="B12:V12"/>
    <mergeCell ref="H94:J94"/>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Contemporary Literature 1"/>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6.xml><?xml version="1.0" encoding="utf-8"?>
<worksheet xmlns="http://schemas.openxmlformats.org/spreadsheetml/2006/main">
  <sheetPr codeName="Sheet20">
    <tabColor rgb="FF00B050"/>
    <outlinePr summaryBelow="1" summaryRight="1"/>
    <pageSetUpPr/>
  </sheetPr>
  <dimension ref="A1:AD232"/>
  <sheetViews>
    <sheetView view="pageBreakPreview" zoomScale="75" zoomScaleNormal="75" workbookViewId="0">
      <selection activeCell="A76" sqref="A76"/>
    </sheetView>
  </sheetViews>
  <sheetFormatPr baseColWidth="8" defaultColWidth="0" defaultRowHeight="15.75" customHeight="1" zeroHeight="1"/>
  <cols>
    <col width="26.8285714285714"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ELECTIVE- SOCIAL SCIENCE THEORY AND PRACTICES</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5">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2</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2</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2</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6</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8</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12</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12</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15</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17</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19</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20</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20</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23</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25</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28</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31</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31</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34</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36</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36</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38</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41</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41</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43</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47</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49</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52</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v>56</v>
      </c>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inlineStr">
        <is>
          <t>Analyze key theories and methods in History</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Examine criminology as an applied social science including its theories, methods and careers</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Analyze the goals, key educational theories and philosophies, and methods of educational research and education in the Philippines</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56</v>
      </c>
      <c r="D87" s="100">
        <f t="array" ref="D87">INDEX($A$16:$A$75,MATCH(LARGE($Y$16:$Y$75-ROW($Y$16:$Y$75)/100000,ROWS($D$84:D87)),$Y$16:$Y$75-ROW($Y$16:$Y$75)/100000,0))</f>
        <v/>
      </c>
      <c r="E87" s="436" t="inlineStr">
        <is>
          <t>Evaluate exonomics as a social science, including theories and methods and career opportunities influenced by globalization</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Examine criminology as an applied social science including its theories, methods and careers</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KENNETH M. CUYOM</t>
        </is>
      </c>
      <c r="B101" s="417" t="n"/>
      <c r="C101" s="417" t="n"/>
      <c r="D101" s="417" t="n"/>
      <c r="E101" s="417" t="n"/>
      <c r="F101" s="183" t="n"/>
      <c r="G101" s="183" t="n"/>
      <c r="H101" s="184" t="inlineStr">
        <is>
          <t>KENNETH M. CUYOM</t>
        </is>
      </c>
      <c r="L101" s="185" t="n"/>
      <c r="M101" s="184" t="n"/>
      <c r="Q101" s="185" t="n"/>
      <c r="R101" s="184" t="n"/>
      <c r="V101" s="183" t="n"/>
      <c r="W101" s="184" t="n"/>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R105" s="184" t="n"/>
      <c r="V105" s="183" t="n"/>
      <c r="W105" s="184" t="n"/>
    </row>
    <row r="106" s="1">
      <c r="A106" s="181" t="inlineStr">
        <is>
          <t>MARIA ERIKA F. MENDOZA</t>
        </is>
      </c>
      <c r="B106" s="417" t="n"/>
      <c r="C106" s="417" t="n"/>
      <c r="D106" s="417" t="n"/>
      <c r="E106" s="417" t="n"/>
      <c r="F106" s="329" t="n"/>
      <c r="G106" s="329" t="n"/>
      <c r="H106" s="329" t="n"/>
      <c r="I106" s="329" t="n"/>
      <c r="J106" s="329" t="n"/>
      <c r="K106" s="329" t="n"/>
      <c r="L106" s="329" t="n"/>
      <c r="M106" s="329" t="n"/>
      <c r="N106" s="329" t="n"/>
      <c r="O106" s="329" t="n"/>
      <c r="P106" s="329" t="n"/>
      <c r="Q106" s="329" t="n"/>
      <c r="R106" s="189" t="inlineStr">
        <is>
          <t>Subject Teacher</t>
        </is>
      </c>
      <c r="S106" s="415" t="n"/>
      <c r="T106" s="415" t="n"/>
      <c r="U106" s="415"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329" t="n"/>
      <c r="I107" s="329" t="n"/>
      <c r="J107" s="329" t="n"/>
      <c r="K107" s="329" t="n"/>
      <c r="L107" s="329" t="n"/>
      <c r="M107" s="329" t="n"/>
      <c r="N107" s="329" t="n"/>
      <c r="O107" s="329" t="n"/>
      <c r="P107" s="329"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(56 - 60)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(45 - 53)</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(30 - 44)</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(14 - 29)</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(0 - 14)</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4">
    <mergeCell ref="B7:F7"/>
    <mergeCell ref="E210:F210"/>
    <mergeCell ref="Q94:R95"/>
    <mergeCell ref="K90:R91"/>
    <mergeCell ref="B3:F3"/>
    <mergeCell ref="H101:K101"/>
    <mergeCell ref="A88:B88"/>
    <mergeCell ref="R102:U102"/>
    <mergeCell ref="B2:F2"/>
    <mergeCell ref="K92:P93"/>
    <mergeCell ref="E87:AA87"/>
    <mergeCell ref="H95:J95"/>
    <mergeCell ref="J5:V5"/>
    <mergeCell ref="K94:P95"/>
    <mergeCell ref="C95:G95"/>
    <mergeCell ref="H92:J92"/>
    <mergeCell ref="A85:B85"/>
    <mergeCell ref="X76:AA79"/>
    <mergeCell ref="Q96:R97"/>
    <mergeCell ref="B6:F6"/>
    <mergeCell ref="J4:V4"/>
    <mergeCell ref="W102:Z102"/>
    <mergeCell ref="R106:U106"/>
    <mergeCell ref="R105:U105"/>
    <mergeCell ref="C89:J89"/>
    <mergeCell ref="A87:B87"/>
    <mergeCell ref="W101:Z101"/>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B1:F1"/>
    <mergeCell ref="F97:J97"/>
    <mergeCell ref="C90:J90"/>
    <mergeCell ref="E212:F212"/>
    <mergeCell ref="R101:U101"/>
    <mergeCell ref="A112:E112"/>
    <mergeCell ref="C96:G96"/>
    <mergeCell ref="E214:F214"/>
    <mergeCell ref="C92:G92"/>
    <mergeCell ref="B12:V12"/>
    <mergeCell ref="H94:J94"/>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ELECTIVE- SOCIAL SCIENCE THEORY AND PRACTICES"/>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7.xml><?xml version="1.0" encoding="utf-8"?>
<worksheet xmlns="http://schemas.openxmlformats.org/spreadsheetml/2006/main">
  <sheetPr codeName="Sheet21">
    <tabColor rgb="FF00B050"/>
    <outlinePr summaryBelow="1" summaryRight="1"/>
    <pageSetUpPr/>
  </sheetPr>
  <dimension ref="A1:AD232"/>
  <sheetViews>
    <sheetView view="pageBreakPreview" topLeftCell="A24" zoomScale="75" zoomScaleNormal="75" workbookViewId="0">
      <selection activeCell="M131" sqref="M131"/>
    </sheetView>
  </sheetViews>
  <sheetFormatPr baseColWidth="8" defaultColWidth="0" defaultRowHeight="15.75" customHeight="1" zeroHeight="1"/>
  <cols>
    <col width="26.8285714285714"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Pag-aaral ng Kasaysayan at Lipunan</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5</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9</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13</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14</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16</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19</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22</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24</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24</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27</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32</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33</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36</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39</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41</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49</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51</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inlineStr">
        <is>
          <t xml:space="preserve">Naiuugnay ang personal at panlipunang paniniwala at pananampalataya sa kamalayang pangkasaysayan. </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58</v>
      </c>
      <c r="D85" s="100">
        <f t="array" ref="D85">INDEX($A$16:$A$75,MATCH(LARGE($Y$16:$Y$75-ROW($Y$16:$Y$75)/100000,ROWS($D$84:D85)),$Y$16:$Y$75-ROW($Y$16:$Y$75)/100000,0))</f>
        <v/>
      </c>
      <c r="E85" s="436" t="inlineStr">
        <is>
          <t xml:space="preserve">Naiuugnay ang personal at panlipunang paniniwala at pananampalataya sa kamalayang pangkasaysayan. </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 xml:space="preserve">Naiuugnay ang personal at panlipunang paniniwala at pananampalataya sa kamalayang pangkasaysayan. </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 xml:space="preserve">Naiuugnay ang personal at panlipunang paniniwala at pananampalataya sa kamalayang pangkasaysayan. </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 xml:space="preserve">Naiuugnay ang personal at panlipunang paniniwala at pananampalataya sa kamalayang pangkasaysayan. </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GLENARD A. LUMAGUI</t>
        </is>
      </c>
      <c r="B101" s="417" t="n"/>
      <c r="C101" s="417" t="n"/>
      <c r="D101" s="417" t="n"/>
      <c r="E101" s="417" t="n"/>
      <c r="F101" s="183" t="n"/>
      <c r="G101" s="183" t="n"/>
      <c r="H101" s="184" t="inlineStr">
        <is>
          <t>LIAN GAY OLFATO</t>
        </is>
      </c>
      <c r="L101" s="185" t="n"/>
      <c r="M101" s="184" t="inlineStr">
        <is>
          <t>JHEMIELEN TAN</t>
        </is>
      </c>
      <c r="Q101" s="185" t="n"/>
      <c r="R101" s="184" t="inlineStr">
        <is>
          <t>PAMELA RONQUILLO</t>
        </is>
      </c>
      <c r="V101" s="183" t="n"/>
      <c r="W101" s="184" t="inlineStr">
        <is>
          <t>SHERYL SARZA</t>
        </is>
      </c>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R105" s="184" t="inlineStr">
        <is>
          <t>MARYKNOLL DEL ROSARIO</t>
        </is>
      </c>
      <c r="V105" s="183" t="n"/>
      <c r="W105" s="184" t="n"/>
    </row>
    <row r="106" s="1">
      <c r="A106" s="181" t="inlineStr">
        <is>
          <t>MARIA ERIKA F. MENDOZA</t>
        </is>
      </c>
      <c r="B106" s="417" t="n"/>
      <c r="C106" s="417" t="n"/>
      <c r="D106" s="417" t="n"/>
      <c r="E106" s="417" t="n"/>
      <c r="F106" s="329" t="n"/>
      <c r="G106" s="329" t="n"/>
      <c r="H106" s="329" t="n"/>
      <c r="I106" s="329" t="n"/>
      <c r="J106" s="329" t="n"/>
      <c r="K106" s="329" t="n"/>
      <c r="L106" s="329" t="n"/>
      <c r="M106" s="329" t="n"/>
      <c r="N106" s="329" t="n"/>
      <c r="O106" s="329" t="n"/>
      <c r="P106" s="329" t="n"/>
      <c r="Q106" s="329" t="n"/>
      <c r="R106" s="189" t="inlineStr">
        <is>
          <t>Subject Teacher</t>
        </is>
      </c>
      <c r="S106" s="415" t="n"/>
      <c r="T106" s="415" t="n"/>
      <c r="U106" s="415"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329" t="n"/>
      <c r="I107" s="329" t="n"/>
      <c r="J107" s="329" t="n"/>
      <c r="K107" s="329" t="n"/>
      <c r="L107" s="329" t="n"/>
      <c r="M107" s="329" t="n"/>
      <c r="N107" s="329" t="n"/>
      <c r="O107" s="329" t="n"/>
      <c r="P107" s="329"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(56 - 60)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(45 - 53)</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(30 - 44)</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(14 - 29)</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(0 - 14)</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4">
    <mergeCell ref="B7:F7"/>
    <mergeCell ref="E210:F210"/>
    <mergeCell ref="Q94:R95"/>
    <mergeCell ref="K90:R91"/>
    <mergeCell ref="B3:F3"/>
    <mergeCell ref="H101:K101"/>
    <mergeCell ref="A88:B88"/>
    <mergeCell ref="R102:U102"/>
    <mergeCell ref="B2:F2"/>
    <mergeCell ref="K92:P93"/>
    <mergeCell ref="E87:AA87"/>
    <mergeCell ref="H95:J95"/>
    <mergeCell ref="J5:V5"/>
    <mergeCell ref="K94:P95"/>
    <mergeCell ref="C95:G95"/>
    <mergeCell ref="H92:J92"/>
    <mergeCell ref="A85:B85"/>
    <mergeCell ref="X76:AA79"/>
    <mergeCell ref="Q96:R97"/>
    <mergeCell ref="B6:F6"/>
    <mergeCell ref="J4:V4"/>
    <mergeCell ref="W102:Z102"/>
    <mergeCell ref="R106:U106"/>
    <mergeCell ref="R105:U105"/>
    <mergeCell ref="C89:J89"/>
    <mergeCell ref="A87:B87"/>
    <mergeCell ref="W101:Z101"/>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B1:F1"/>
    <mergeCell ref="F97:J97"/>
    <mergeCell ref="C90:J90"/>
    <mergeCell ref="E212:F212"/>
    <mergeCell ref="R101:U101"/>
    <mergeCell ref="A112:E112"/>
    <mergeCell ref="C96:G96"/>
    <mergeCell ref="E214:F214"/>
    <mergeCell ref="C92:G92"/>
    <mergeCell ref="B12:V12"/>
    <mergeCell ref="H94:J94"/>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34" operator="between" dxfId="0" text="Least Mastered">
      <formula>NOT(ISERROR(SEARCH("Least Mastered",A123)))</formula>
    </cfRule>
  </conditionalFormatting>
  <conditionalFormatting sqref="Y16:Y75">
    <cfRule type="top10" rank="5" priority="20" dxfId="5"/>
  </conditionalFormatting>
  <conditionalFormatting sqref="Z16:Z75">
    <cfRule type="containsText" priority="21" operator="between" dxfId="1" text="NOT PROFICIENT">
      <formula>NOT(ISERROR(SEARCH("NOT PROFICIENT",Z16)))</formula>
    </cfRule>
    <cfRule type="containsText" priority="22" operator="between" dxfId="2" text="LOW PROFICIENT">
      <formula>NOT(ISERROR(SEARCH("LOW PROFICIENT",Z16)))</formula>
    </cfRule>
    <cfRule type="containsText" priority="23" operator="between" dxfId="3" text="NEARLY PROFICIENT">
      <formula>NOT(ISERROR(SEARCH("NEARLY PROFICIENT",Z16)))</formula>
    </cfRule>
    <cfRule type="containsText" priority="25" operator="between" dxfId="5" text="HIGHLY PROFICIENT">
      <formula>NOT(ISERROR(SEARCH("HIGHLY PROFICIENT",Z16)))</formula>
    </cfRule>
    <cfRule type="containsText" priority="26" operator="between" dxfId="4" text="PROFICIENT">
      <formula>NOT(ISERROR(SEARCH("PROFICIENT",Z16)))</formula>
    </cfRule>
  </conditionalFormatting>
  <conditionalFormatting sqref="AA16:AA75">
    <cfRule type="containsText" priority="32" operator="between" dxfId="7" text="NOT PROFICIENT">
      <formula>NOT(ISERROR(SEARCH("NOT PROFICIENT",AA16)))</formula>
    </cfRule>
    <cfRule type="containsText" priority="27" operator="between" dxfId="5" text="HIGHLY PROFICIENT">
      <formula>NOT(ISERROR(SEARCH("HIGHLY PROFICIENT",AA16)))</formula>
    </cfRule>
    <cfRule type="containsText" priority="28" operator="between" dxfId="4" text="ENHANCEMENT">
      <formula>NOT(ISERROR(SEARCH("ENHANCEMENT",AA16)))</formula>
    </cfRule>
    <cfRule type="containsText" priority="29" operator="between" dxfId="3" text="INTERVENTION">
      <formula>NOT(ISERROR(SEARCH("INTERVENTION",AA16)))</formula>
    </cfRule>
    <cfRule type="containsText" priority="30" operator="between" dxfId="8" text="REMEDIATION">
      <formula>NOT(ISERROR(SEARCH("REMEDIATION",AA16)))</formula>
    </cfRule>
    <cfRule type="containsText" priority="31" operator="between" dxfId="9" text="RETEACH">
      <formula>NOT(ISERROR(SEARCH("RETEACH",AA16)))</formula>
    </cfRule>
  </conditionalFormatting>
  <conditionalFormatting sqref="A16:A75 A81 A98">
    <cfRule type="containsText" priority="33"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Pag-aaral ng Kasaysayan at Lipunan"/>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8.xml><?xml version="1.0" encoding="utf-8"?>
<worksheet xmlns="http://schemas.openxmlformats.org/spreadsheetml/2006/main">
  <sheetPr codeName="Sheet22">
    <tabColor rgb="FF00B050"/>
    <outlinePr summaryBelow="1" summaryRight="1"/>
    <pageSetUpPr/>
  </sheetPr>
  <dimension ref="A1:AD232"/>
  <sheetViews>
    <sheetView view="pageBreakPreview" topLeftCell="B7" zoomScale="75" zoomScaleNormal="75" workbookViewId="0">
      <selection activeCell="U14" sqref="U14"/>
    </sheetView>
  </sheetViews>
  <sheetFormatPr baseColWidth="8" defaultColWidth="0" defaultRowHeight="15.75" customHeight="1" zeroHeight="1"/>
  <cols>
    <col width="26.8285714285714"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Life and Career Skills</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4</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7</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7</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12</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12</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15</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15</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18</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21</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24</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25</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25</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27</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30</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32</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33</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33</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35</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37</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37</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41</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42</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44</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50</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36" t="n"/>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58</v>
      </c>
      <c r="D85" s="100">
        <f t="array" ref="D85">INDEX($A$16:$A$75,MATCH(LARGE($Y$16:$Y$75-ROW($Y$16:$Y$75)/100000,ROWS($D$84:D85)),$Y$16:$Y$75-ROW($Y$16:$Y$75)/100000,0))</f>
        <v/>
      </c>
      <c r="E85" s="436" t="n"/>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n"/>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n"/>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n"/>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Maria Erika F. Mendoza</t>
        </is>
      </c>
      <c r="B101" s="417" t="n"/>
      <c r="C101" s="417" t="n"/>
      <c r="D101" s="417" t="n"/>
      <c r="E101" s="417" t="n"/>
      <c r="F101" s="183" t="n"/>
      <c r="G101" s="183" t="n"/>
      <c r="H101" s="184" t="inlineStr">
        <is>
          <t>Ma. Bhedur Cierva</t>
        </is>
      </c>
      <c r="L101" s="185" t="n"/>
      <c r="M101" s="184" t="inlineStr">
        <is>
          <t>Kristina Denise Belo</t>
        </is>
      </c>
      <c r="Q101" s="185" t="n"/>
      <c r="R101" s="184" t="inlineStr">
        <is>
          <t>Jasmin C. Marcial</t>
        </is>
      </c>
      <c r="V101" s="183" t="n"/>
      <c r="W101" s="184" t="n"/>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V105" s="183" t="n"/>
      <c r="W105" s="184" t="n"/>
    </row>
    <row r="106" s="1">
      <c r="A106" s="181" t="inlineStr">
        <is>
          <t>MARIA ERIKA F. MENDOZA</t>
        </is>
      </c>
      <c r="B106" s="417" t="n"/>
      <c r="C106" s="417" t="n"/>
      <c r="D106" s="417" t="n"/>
      <c r="E106" s="417" t="n"/>
      <c r="F106" s="329" t="n"/>
      <c r="G106" s="329" t="n"/>
      <c r="H106" s="184" t="inlineStr">
        <is>
          <t>Reyshel B. Panit</t>
        </is>
      </c>
      <c r="L106" s="329" t="n"/>
      <c r="M106" s="184" t="inlineStr">
        <is>
          <t xml:space="preserve">Madelaine E. Villavicencio		</t>
        </is>
      </c>
      <c r="Q106" s="329"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189" t="inlineStr">
        <is>
          <t>Subject Teacher</t>
        </is>
      </c>
      <c r="I107" s="415" t="n"/>
      <c r="J107" s="415" t="n"/>
      <c r="K107" s="415" t="n"/>
      <c r="L107" s="329" t="n"/>
      <c r="M107" s="189" t="inlineStr">
        <is>
          <t>Subject Teacher</t>
        </is>
      </c>
      <c r="N107" s="415" t="n"/>
      <c r="O107" s="415" t="n"/>
      <c r="P107" s="415"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(56 - 60)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(45 - 53)</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(30 - 44)</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(14 - 29)</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(0 - 14)</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6">
    <mergeCell ref="B7:F7"/>
    <mergeCell ref="E210:F210"/>
    <mergeCell ref="Q94:R95"/>
    <mergeCell ref="K90:R91"/>
    <mergeCell ref="B3:F3"/>
    <mergeCell ref="H101:K101"/>
    <mergeCell ref="A88:B88"/>
    <mergeCell ref="R102:U102"/>
    <mergeCell ref="B2:F2"/>
    <mergeCell ref="K92:P93"/>
    <mergeCell ref="E87:AA87"/>
    <mergeCell ref="H95:J95"/>
    <mergeCell ref="J5:V5"/>
    <mergeCell ref="M107:P107"/>
    <mergeCell ref="K94:P95"/>
    <mergeCell ref="C95:G95"/>
    <mergeCell ref="H92:J92"/>
    <mergeCell ref="A85:B85"/>
    <mergeCell ref="X76:AA79"/>
    <mergeCell ref="Q96:R97"/>
    <mergeCell ref="B6:F6"/>
    <mergeCell ref="J4:V4"/>
    <mergeCell ref="W102:Z102"/>
    <mergeCell ref="C89:J89"/>
    <mergeCell ref="A87:B87"/>
    <mergeCell ref="W101:Z101"/>
    <mergeCell ref="H107:K107"/>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H106:K106"/>
    <mergeCell ref="B1:F1"/>
    <mergeCell ref="F97:J97"/>
    <mergeCell ref="C90:J90"/>
    <mergeCell ref="E212:F212"/>
    <mergeCell ref="R101:U101"/>
    <mergeCell ref="A112:E112"/>
    <mergeCell ref="C96:G96"/>
    <mergeCell ref="E214:F214"/>
    <mergeCell ref="C92:G92"/>
    <mergeCell ref="B12:V12"/>
    <mergeCell ref="H94:J94"/>
    <mergeCell ref="M106:P106"/>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Life and Career Skills"/>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9.xml><?xml version="1.0" encoding="utf-8"?>
<worksheet xmlns="http://schemas.openxmlformats.org/spreadsheetml/2006/main">
  <sheetPr codeName="Sheet24">
    <tabColor rgb="FFFFFF00"/>
    <outlinePr summaryBelow="1" summaryRight="1"/>
    <pageSetUpPr/>
  </sheetPr>
  <dimension ref="A1:AD232"/>
  <sheetViews>
    <sheetView view="pageBreakPreview" topLeftCell="A142" zoomScale="75" zoomScaleNormal="75" workbookViewId="0">
      <selection activeCell="R161" sqref="R161"/>
    </sheetView>
  </sheetViews>
  <sheetFormatPr baseColWidth="8" defaultColWidth="0" defaultRowHeight="15.75" customHeight="1" zeroHeight="1"/>
  <cols>
    <col width="26.8285714285714"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Effective Communication</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2</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5</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9</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10</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13</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14</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16</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17</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18</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20</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22</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24</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24</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26</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26</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31</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33</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35</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39</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41</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44</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64" t="inlineStr">
        <is>
          <t>Compose well-structured personal and interpersonal communication, showing awareness of audience and purpose (e.g., reporting observations, narrating experiences, or articulating opinions). (No LC code)</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Analyze the content and intent of personal, interpersonal, social, and cultural communication (e.g., conversation, correspondence, speeches, media broadcasts, cultural performances). (No LC code)</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Employ language and structure (e.g., use of transition/cohesive devices) appropriately and effectively for a variety of purposes. (No LC code)</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Construct coherent arguments or narratives that reflect understanding of social responsibility, diversity, and shared values. (No LC Code)</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Compose critical reviews of culturally significant texts (e.g., films, short stories, poetry, television series).. (No LC Code)</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JASMIN C. MARCIAL</t>
        </is>
      </c>
      <c r="B101" s="417" t="n"/>
      <c r="C101" s="417" t="n"/>
      <c r="D101" s="417" t="n"/>
      <c r="E101" s="417" t="n"/>
      <c r="F101" s="183" t="n"/>
      <c r="G101" s="183" t="n"/>
      <c r="H101" s="184" t="inlineStr">
        <is>
          <t>JOYLYN FERNANDEZ</t>
        </is>
      </c>
      <c r="L101" s="185" t="n"/>
      <c r="M101" s="184" t="inlineStr">
        <is>
          <t>KIMBERLEY ANNE LACSON</t>
        </is>
      </c>
      <c r="Q101" s="185" t="n"/>
      <c r="R101" s="184" t="inlineStr">
        <is>
          <t>REYSHEL B. PANIT</t>
        </is>
      </c>
      <c r="V101" s="183" t="n"/>
      <c r="W101" s="184" t="inlineStr">
        <is>
          <t>LOUIE CAMANTIGUE</t>
        </is>
      </c>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V105" s="183" t="n"/>
      <c r="W105" s="184" t="n"/>
    </row>
    <row r="106" s="1">
      <c r="A106" s="181" t="inlineStr">
        <is>
          <t xml:space="preserve">SHEELA ANNE C. MARAAN				</t>
        </is>
      </c>
      <c r="B106" s="417" t="n"/>
      <c r="C106" s="417" t="n"/>
      <c r="D106" s="417" t="n"/>
      <c r="E106" s="417" t="n"/>
      <c r="F106" s="329" t="n"/>
      <c r="G106" s="329" t="n"/>
      <c r="H106" s="184" t="n"/>
      <c r="L106" s="329" t="n"/>
      <c r="M106" s="184" t="n"/>
      <c r="Q106" s="329"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189" t="inlineStr">
        <is>
          <t>Subject Teacher</t>
        </is>
      </c>
      <c r="I107" s="415" t="n"/>
      <c r="J107" s="415" t="n"/>
      <c r="K107" s="415" t="n"/>
      <c r="L107" s="329" t="n"/>
      <c r="M107" s="189" t="inlineStr">
        <is>
          <t>Subject Teacher</t>
        </is>
      </c>
      <c r="N107" s="415" t="n"/>
      <c r="O107" s="415" t="n"/>
      <c r="P107" s="415"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(56 - 60)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(45 - 53)</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(30 - 44)</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(14 - 29)</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(0 - 14)</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6">
    <mergeCell ref="B7:F7"/>
    <mergeCell ref="E210:F210"/>
    <mergeCell ref="Q94:R95"/>
    <mergeCell ref="K90:R91"/>
    <mergeCell ref="B3:F3"/>
    <mergeCell ref="H101:K101"/>
    <mergeCell ref="A88:B88"/>
    <mergeCell ref="R102:U102"/>
    <mergeCell ref="B2:F2"/>
    <mergeCell ref="K92:P93"/>
    <mergeCell ref="E87:AA87"/>
    <mergeCell ref="H95:J95"/>
    <mergeCell ref="J5:V5"/>
    <mergeCell ref="M107:P107"/>
    <mergeCell ref="K94:P95"/>
    <mergeCell ref="C95:G95"/>
    <mergeCell ref="H92:J92"/>
    <mergeCell ref="A85:B85"/>
    <mergeCell ref="X76:AA79"/>
    <mergeCell ref="Q96:R97"/>
    <mergeCell ref="B6:F6"/>
    <mergeCell ref="J4:V4"/>
    <mergeCell ref="W102:Z102"/>
    <mergeCell ref="C89:J89"/>
    <mergeCell ref="A87:B87"/>
    <mergeCell ref="W101:Z101"/>
    <mergeCell ref="H107:K107"/>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H106:K106"/>
    <mergeCell ref="B1:F1"/>
    <mergeCell ref="F97:J97"/>
    <mergeCell ref="C90:J90"/>
    <mergeCell ref="E212:F212"/>
    <mergeCell ref="R101:U101"/>
    <mergeCell ref="A112:E112"/>
    <mergeCell ref="C96:G96"/>
    <mergeCell ref="E214:F214"/>
    <mergeCell ref="C92:G92"/>
    <mergeCell ref="B12:V12"/>
    <mergeCell ref="H94:J94"/>
    <mergeCell ref="M106:P106"/>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29" operator="between" dxfId="0" text="Least Mastered">
      <formula>NOT(ISERROR(SEARCH("Least Mastered",A123)))</formula>
    </cfRule>
  </conditionalFormatting>
  <conditionalFormatting sqref="Y16:Y75">
    <cfRule type="top10" rank="5" priority="15" dxfId="5"/>
  </conditionalFormatting>
  <conditionalFormatting sqref="Z16:Z75">
    <cfRule type="containsText" priority="16" operator="between" dxfId="1" text="NOT PROFICIENT">
      <formula>NOT(ISERROR(SEARCH("NOT PROFICIENT",Z16)))</formula>
    </cfRule>
    <cfRule type="containsText" priority="17" operator="between" dxfId="2" text="LOW PROFICIENT">
      <formula>NOT(ISERROR(SEARCH("LOW PROFICIENT",Z16)))</formula>
    </cfRule>
    <cfRule type="containsText" priority="18" operator="between" dxfId="3" text="NEARLY PROFICIENT">
      <formula>NOT(ISERROR(SEARCH("NEARLY PROFICIENT",Z16)))</formula>
    </cfRule>
    <cfRule type="containsText" priority="20" operator="between" dxfId="5" text="HIGHLY PROFICIENT">
      <formula>NOT(ISERROR(SEARCH("HIGHLY PROFICIENT",Z16)))</formula>
    </cfRule>
    <cfRule type="containsText" priority="21" operator="between" dxfId="4" text="PROFICIENT">
      <formula>NOT(ISERROR(SEARCH("PROFICIENT",Z16)))</formula>
    </cfRule>
  </conditionalFormatting>
  <conditionalFormatting sqref="AA16:AA75">
    <cfRule type="containsText" priority="27" operator="between" dxfId="7" text="NOT PROFICIENT">
      <formula>NOT(ISERROR(SEARCH("NOT PROFICIENT",AA16)))</formula>
    </cfRule>
    <cfRule type="containsText" priority="22" operator="between" dxfId="5" text="HIGHLY PROFICIENT">
      <formula>NOT(ISERROR(SEARCH("HIGHLY PROFICIENT",AA16)))</formula>
    </cfRule>
    <cfRule type="containsText" priority="23" operator="between" dxfId="4" text="ENHANCEMENT">
      <formula>NOT(ISERROR(SEARCH("ENHANCEMENT",AA16)))</formula>
    </cfRule>
    <cfRule type="containsText" priority="24" operator="between" dxfId="3" text="INTERVENTION">
      <formula>NOT(ISERROR(SEARCH("INTERVENTION",AA16)))</formula>
    </cfRule>
    <cfRule type="containsText" priority="25" operator="between" dxfId="8" text="REMEDIATION">
      <formula>NOT(ISERROR(SEARCH("REMEDIATION",AA16)))</formula>
    </cfRule>
    <cfRule type="containsText" priority="26" operator="between" dxfId="9" text="RETEACH">
      <formula>NOT(ISERROR(SEARCH("RETEACH",AA16)))</formula>
    </cfRule>
  </conditionalFormatting>
  <conditionalFormatting sqref="A16:A75 A81 A98">
    <cfRule type="containsText" priority="28"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Effective Communication"/>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xl/worksheets/sheet10.xml><?xml version="1.0" encoding="utf-8"?>
<worksheet xmlns="http://schemas.openxmlformats.org/spreadsheetml/2006/main">
  <sheetPr codeName="Sheet23">
    <tabColor rgb="FFFFFF00"/>
    <outlinePr summaryBelow="1" summaryRight="1"/>
    <pageSetUpPr/>
  </sheetPr>
  <dimension ref="A1:AD232"/>
  <sheetViews>
    <sheetView tabSelected="1" view="pageBreakPreview" zoomScale="75" zoomScaleNormal="75" workbookViewId="0">
      <selection activeCell="M106" sqref="M106:P106"/>
    </sheetView>
  </sheetViews>
  <sheetFormatPr baseColWidth="8" defaultColWidth="0" defaultRowHeight="15.75" customHeight="1" zeroHeight="1"/>
  <cols>
    <col width="30" customWidth="1" style="89" min="1" max="1"/>
    <col width="11" customWidth="1" style="89" min="2" max="19"/>
    <col width="9.66666666666667" customWidth="1" style="89" min="20" max="22"/>
    <col width="10.6666666666667" customWidth="1" style="89" min="23" max="23"/>
    <col width="27.3333333333333" customWidth="1" style="89" min="24" max="24"/>
    <col width="12.8285714285714" customWidth="1" style="89" min="25" max="25"/>
    <col width="21.1619047619048" customWidth="1" style="89" min="26" max="26"/>
    <col width="19.3333333333333" customWidth="1" style="89" min="27" max="27"/>
    <col width="8.504761904761899" customWidth="1" style="89" min="28" max="28"/>
    <col hidden="1" width="8.504761904761899" customWidth="1" style="89" min="29" max="29"/>
    <col hidden="1" width="11.3333333333333" customWidth="1" style="89" min="30" max="30"/>
    <col width="8.504761904761899" customWidth="1" style="89" min="31" max="31"/>
    <col hidden="1" width="9.16190476190476" customWidth="1" style="89" min="32" max="32"/>
    <col hidden="1" style="89" min="33" max="34"/>
    <col hidden="1" width="13.3333333333333" customWidth="1" style="89" min="35" max="35"/>
    <col hidden="1" width="13.1619047619048" customWidth="1" style="89" min="36" max="36"/>
    <col hidden="1" style="89" min="37" max="44"/>
    <col hidden="1" outlineLevel="1" style="89" min="45" max="16384"/>
  </cols>
  <sheetData>
    <row r="1">
      <c r="A1" s="8" t="inlineStr">
        <is>
          <t>DIVISION:</t>
        </is>
      </c>
      <c r="B1" s="418" t="inlineStr">
        <is>
          <t>Dasmariñas City</t>
        </is>
      </c>
      <c r="C1" s="412" t="n"/>
      <c r="D1" s="412" t="n"/>
      <c r="E1" s="412" t="n"/>
      <c r="F1" s="414" t="n"/>
      <c r="G1" s="298" t="n"/>
      <c r="H1" s="13" t="n"/>
      <c r="I1" s="298" t="n"/>
      <c r="J1" s="298" t="n"/>
      <c r="K1" s="298" t="n"/>
      <c r="L1" s="298" t="n"/>
      <c r="M1" s="298" t="n"/>
      <c r="N1" s="298" t="n"/>
      <c r="O1" s="298" t="n"/>
      <c r="P1" s="298" t="n"/>
      <c r="Q1" s="298" t="n"/>
      <c r="R1" s="298" t="n"/>
      <c r="S1" s="298" t="n"/>
      <c r="T1" s="298" t="n"/>
      <c r="U1" s="298" t="n"/>
      <c r="V1" s="298" t="n"/>
      <c r="W1" s="82" t="n"/>
      <c r="X1" s="82" t="n"/>
      <c r="Y1" s="82" t="n"/>
      <c r="Z1" s="82" t="n"/>
      <c r="AA1" s="69" t="n"/>
      <c r="AB1" s="69" t="n"/>
    </row>
    <row r="2" ht="26.25" customHeight="1" s="1">
      <c r="A2" s="8" t="inlineStr">
        <is>
          <t>CLUSTER:</t>
        </is>
      </c>
      <c r="B2" s="418" t="inlineStr">
        <is>
          <t>CLUSTER VIII</t>
        </is>
      </c>
      <c r="C2" s="412" t="n"/>
      <c r="D2" s="412" t="n"/>
      <c r="E2" s="412" t="n"/>
      <c r="F2" s="414" t="n"/>
      <c r="G2" s="298" t="n"/>
      <c r="H2" s="298" t="n"/>
      <c r="I2" s="15" t="inlineStr">
        <is>
          <t xml:space="preserve">INSTRUCTIONS </t>
        </is>
      </c>
      <c r="J2" s="16" t="n"/>
      <c r="K2" s="16" t="n"/>
      <c r="L2" s="16" t="n"/>
      <c r="M2" s="16" t="n"/>
      <c r="N2" s="16" t="n"/>
      <c r="O2" s="16" t="n"/>
      <c r="P2" s="16" t="n"/>
      <c r="Q2" s="17" t="n"/>
      <c r="R2" s="17" t="n"/>
      <c r="S2" s="17" t="n"/>
      <c r="T2" s="17" t="n"/>
      <c r="U2" s="17" t="n"/>
      <c r="V2" s="17" t="n"/>
      <c r="W2" s="82" t="n"/>
      <c r="X2" s="82" t="n"/>
      <c r="Y2" s="82" t="n"/>
      <c r="Z2" s="82" t="n"/>
      <c r="AA2" s="69" t="n"/>
      <c r="AB2" s="69" t="n"/>
    </row>
    <row r="3" ht="50" customHeight="1" s="1">
      <c r="A3" s="18" t="inlineStr">
        <is>
          <t>SCHOOL:</t>
        </is>
      </c>
      <c r="B3" s="418" t="inlineStr">
        <is>
          <t>PALIPARAN III SENIOR HIGH SCHOOL</t>
        </is>
      </c>
      <c r="C3" s="412" t="n"/>
      <c r="D3" s="412" t="n"/>
      <c r="E3" s="412" t="n"/>
      <c r="F3" s="414" t="n"/>
      <c r="G3" s="298" t="n"/>
      <c r="H3" s="298" t="n"/>
      <c r="I3" s="19" t="n">
        <v>1</v>
      </c>
      <c r="J3" s="20" t="inlineStr">
        <is>
          <t>Encode the Item Analysis from ZipGrade into the  First Table of this Assessment sheet</t>
        </is>
      </c>
      <c r="W3" s="82" t="n"/>
      <c r="X3" s="82" t="n"/>
      <c r="Y3" s="82" t="n"/>
      <c r="Z3" s="82" t="n"/>
      <c r="AA3" s="69" t="n"/>
      <c r="AB3" s="69" t="n"/>
    </row>
    <row r="4" ht="26.25" customHeight="1" s="1">
      <c r="A4" s="18" t="inlineStr">
        <is>
          <t>SCHOOL YEAR:</t>
        </is>
      </c>
      <c r="B4" s="418" t="inlineStr">
        <is>
          <t>2026-2027</t>
        </is>
      </c>
      <c r="C4" s="412" t="n"/>
      <c r="D4" s="412" t="n"/>
      <c r="E4" s="412" t="n"/>
      <c r="F4" s="414" t="n"/>
      <c r="G4" s="298" t="n"/>
      <c r="H4" s="298" t="n"/>
      <c r="I4" s="19" t="n">
        <v>2</v>
      </c>
      <c r="J4" s="21" t="inlineStr">
        <is>
          <t>Encode the Raw Scores from the grading sheet</t>
        </is>
      </c>
      <c r="W4" s="82" t="n"/>
      <c r="X4" s="82" t="n"/>
      <c r="Y4" s="82" t="n"/>
      <c r="Z4" s="82" t="n"/>
      <c r="AA4" s="69" t="n"/>
      <c r="AB4" s="69" t="n"/>
    </row>
    <row r="5" ht="39" customHeight="1" s="1">
      <c r="A5" s="18" t="inlineStr">
        <is>
          <t>LEARNING AREA:</t>
        </is>
      </c>
      <c r="B5" s="419" t="inlineStr">
        <is>
          <t>Mabisang Komunikasyon</t>
        </is>
      </c>
      <c r="C5" s="412" t="n"/>
      <c r="D5" s="412" t="n"/>
      <c r="E5" s="412" t="n"/>
      <c r="F5" s="414" t="n"/>
      <c r="G5" s="298" t="n"/>
      <c r="H5" s="298" t="n"/>
      <c r="I5" s="19" t="n">
        <v>3</v>
      </c>
      <c r="J5" s="25" t="inlineStr">
        <is>
          <t>For Key Teachers Only: Identify the Least Mastered Competency</t>
        </is>
      </c>
      <c r="W5" s="82" t="n"/>
      <c r="X5" s="82" t="n"/>
      <c r="Y5" s="82" t="n"/>
      <c r="Z5" s="82" t="n"/>
      <c r="AA5" s="69" t="n"/>
      <c r="AB5" s="69" t="n"/>
    </row>
    <row r="6" ht="26" customHeight="1" s="1">
      <c r="A6" s="18" t="inlineStr">
        <is>
          <t>GRADE LEVEL:</t>
        </is>
      </c>
      <c r="B6" s="418" t="n">
        <v>11</v>
      </c>
      <c r="C6" s="412" t="n"/>
      <c r="D6" s="412" t="n"/>
      <c r="E6" s="412" t="n"/>
      <c r="F6" s="414" t="n"/>
      <c r="G6" s="298" t="n"/>
      <c r="H6" s="298" t="n"/>
      <c r="I6" s="26" t="n"/>
      <c r="J6" s="27" t="inlineStr">
        <is>
          <t>&gt; Refer to Column Y (Rank).</t>
        </is>
      </c>
      <c r="W6" s="82" t="n"/>
      <c r="X6" s="82" t="n"/>
      <c r="Y6" s="82" t="n"/>
      <c r="Z6" s="82" t="n"/>
      <c r="AA6" s="69" t="n"/>
      <c r="AB6" s="69" t="n"/>
    </row>
    <row r="7" ht="47.25" customHeight="1" s="1">
      <c r="A7" s="18" t="inlineStr">
        <is>
          <t>TOTAL NO. OF ITEMS:</t>
        </is>
      </c>
      <c r="B7" s="418" t="n">
        <v>60</v>
      </c>
      <c r="C7" s="412" t="n"/>
      <c r="D7" s="412" t="n"/>
      <c r="E7" s="412" t="n"/>
      <c r="F7" s="414" t="n"/>
      <c r="G7" s="298" t="n"/>
      <c r="H7" s="298" t="n"/>
      <c r="I7" s="26" t="n"/>
      <c r="J7" s="27" t="inlineStr">
        <is>
          <t>&gt; The Least Mastered Competencies are highlighted in green.</t>
        </is>
      </c>
      <c r="W7" s="82" t="n"/>
      <c r="X7" s="82" t="n"/>
      <c r="Y7" s="82" t="n"/>
      <c r="Z7" s="82" t="n"/>
      <c r="AA7" s="69" t="n"/>
      <c r="AB7" s="69" t="n"/>
    </row>
    <row r="8" ht="47.25" customHeight="1" s="1">
      <c r="A8" s="18" t="inlineStr">
        <is>
          <t>TOTAL NO. OF EXAMINEES:</t>
        </is>
      </c>
      <c r="B8" s="413">
        <f>W14</f>
        <v/>
      </c>
      <c r="C8" s="412" t="n"/>
      <c r="D8" s="412" t="n"/>
      <c r="E8" s="412" t="n"/>
      <c r="F8" s="414" t="n"/>
      <c r="G8" s="298" t="n"/>
      <c r="H8" s="298" t="n"/>
      <c r="I8" s="29" t="inlineStr">
        <is>
          <t>NOTE: When pasting data, use Ctrl + Shift + V (Paste Values Only) to avoid disrupting the existing cell formatting.</t>
        </is>
      </c>
      <c r="W8" s="82" t="n"/>
      <c r="X8" s="82" t="n"/>
      <c r="Y8" s="82" t="n"/>
      <c r="Z8" s="82" t="n"/>
      <c r="AA8" s="69" t="n"/>
      <c r="AB8" s="69" t="n"/>
    </row>
    <row r="9" ht="54" customHeight="1" s="1">
      <c r="A9" s="18" t="inlineStr">
        <is>
          <t>TOTAL NO. OF SECTIONS/CLASSES:</t>
        </is>
      </c>
      <c r="B9" s="413">
        <f>COUNT(B14:F14)</f>
        <v/>
      </c>
      <c r="C9" s="412" t="n"/>
      <c r="D9" s="412" t="n"/>
      <c r="E9" s="412" t="n"/>
      <c r="F9" s="414" t="n"/>
      <c r="G9" s="298" t="n"/>
      <c r="H9" s="298" t="n"/>
      <c r="W9" s="298" t="n"/>
      <c r="X9" s="298" t="n"/>
      <c r="Y9" s="298" t="n"/>
      <c r="Z9" s="298" t="n"/>
      <c r="AA9" s="298" t="n"/>
      <c r="AB9" s="298" t="n"/>
    </row>
    <row r="10" ht="93" customHeight="1" s="1">
      <c r="A10" s="256" t="n"/>
      <c r="B10" s="257" t="n"/>
      <c r="C10" s="258" t="n"/>
      <c r="D10" s="258" t="n"/>
      <c r="E10" s="258" t="n"/>
      <c r="F10" s="258" t="n"/>
      <c r="G10" s="298" t="n"/>
      <c r="H10" s="298" t="n"/>
      <c r="I10" s="35" t="inlineStr">
        <is>
          <t>**IMPORTANT:** Please do not encode fabricated or inaccurate scores. This template is designed to identify inconsistencies and can easily detect whether the encoded data are authentic and accurate. Ensure that all data entered are based on the actual assessment results.</t>
        </is>
      </c>
      <c r="W10" s="298" t="n"/>
      <c r="X10" s="298" t="n"/>
      <c r="Y10" s="298" t="n"/>
      <c r="Z10" s="298" t="n"/>
      <c r="AA10" s="298" t="n"/>
      <c r="AB10" s="298" t="n"/>
    </row>
    <row r="11">
      <c r="A11" s="298" t="n"/>
      <c r="B11" s="298" t="n"/>
      <c r="C11" s="298" t="n"/>
      <c r="D11" s="298" t="n"/>
      <c r="E11" s="298" t="n"/>
      <c r="F11" s="298" t="n"/>
      <c r="G11" s="298" t="n"/>
      <c r="H11" s="298" t="n"/>
      <c r="I11" s="417" t="n"/>
      <c r="J11" s="417" t="n"/>
      <c r="K11" s="417" t="n"/>
      <c r="L11" s="417" t="n"/>
      <c r="M11" s="417" t="n"/>
      <c r="N11" s="417" t="n"/>
      <c r="O11" s="417" t="n"/>
      <c r="P11" s="417" t="n"/>
      <c r="Q11" s="417" t="n"/>
      <c r="R11" s="417" t="n"/>
      <c r="S11" s="417" t="n"/>
      <c r="T11" s="417" t="n"/>
      <c r="U11" s="417" t="n"/>
      <c r="V11" s="417" t="n"/>
      <c r="W11" s="298" t="n"/>
      <c r="X11" s="298" t="n"/>
      <c r="Y11" s="298" t="n"/>
      <c r="Z11" s="298" t="n"/>
      <c r="AA11" s="298" t="n"/>
      <c r="AB11" s="298" t="n"/>
    </row>
    <row r="12" ht="96.75" customHeight="1" s="1">
      <c r="A12" s="300" t="inlineStr">
        <is>
          <t>QUARTER ASSESSMENT</t>
        </is>
      </c>
      <c r="B12" s="420" t="inlineStr">
        <is>
          <t>ITEM ANALYSIS: FREQUENCY (NUMBER) OF CORRECT RESPONSES</t>
        </is>
      </c>
      <c r="C12" s="412" t="n"/>
      <c r="D12" s="412" t="n"/>
      <c r="E12" s="412" t="n"/>
      <c r="F12" s="412" t="n"/>
      <c r="G12" s="412" t="n"/>
      <c r="H12" s="412" t="n"/>
      <c r="I12" s="412" t="n"/>
      <c r="J12" s="412" t="n"/>
      <c r="K12" s="412" t="n"/>
      <c r="L12" s="412" t="n"/>
      <c r="M12" s="412" t="n"/>
      <c r="N12" s="412" t="n"/>
      <c r="O12" s="412" t="n"/>
      <c r="P12" s="412" t="n"/>
      <c r="Q12" s="412" t="n"/>
      <c r="R12" s="412" t="n"/>
      <c r="S12" s="412" t="n"/>
      <c r="T12" s="412" t="n"/>
      <c r="U12" s="412" t="n"/>
      <c r="V12" s="414" t="n"/>
      <c r="W12" s="298" t="n"/>
      <c r="X12" s="298" t="n"/>
      <c r="Y12" s="298" t="n"/>
      <c r="Z12" s="298" t="n"/>
      <c r="AA12" s="40" t="n"/>
      <c r="AB12" s="40" t="n"/>
    </row>
    <row r="13" ht="46.5" customHeight="1" s="1">
      <c r="A13" s="41" t="inlineStr">
        <is>
          <t>Sections/Classes</t>
        </is>
      </c>
      <c r="B13" s="42" t="n"/>
      <c r="C13" s="41" t="n"/>
      <c r="D13" s="43" t="n"/>
      <c r="E13" s="41" t="n"/>
      <c r="F13" s="42" t="n"/>
      <c r="G13" s="41" t="n"/>
      <c r="H13" s="42" t="n"/>
      <c r="I13" s="41" t="n"/>
      <c r="J13" s="42" t="n"/>
      <c r="K13" s="41" t="n"/>
      <c r="L13" s="41" t="n"/>
      <c r="M13" s="41" t="n"/>
      <c r="N13" s="41" t="n"/>
      <c r="O13" s="41" t="n"/>
      <c r="P13" s="41" t="n"/>
      <c r="Q13" s="44" t="n"/>
      <c r="R13" s="44" t="n"/>
      <c r="S13" s="41" t="n"/>
      <c r="T13" s="41" t="n"/>
      <c r="U13" s="41" t="n"/>
      <c r="V13" s="41" t="n"/>
      <c r="W13" s="45" t="inlineStr">
        <is>
          <t>Total</t>
        </is>
      </c>
      <c r="X13" s="46" t="n"/>
      <c r="Y13" s="46" t="n"/>
      <c r="Z13" s="46" t="n"/>
      <c r="AA13" s="46" t="n"/>
      <c r="AB13" s="40" t="n"/>
    </row>
    <row r="14" ht="31.5" customHeight="1" s="1">
      <c r="A14" s="47" t="inlineStr">
        <is>
          <t>No. of Examinees</t>
        </is>
      </c>
      <c r="B14" s="48" t="n"/>
      <c r="C14" s="49" t="n"/>
      <c r="D14" s="49" t="n"/>
      <c r="E14" s="49" t="n"/>
      <c r="F14" s="49" t="n"/>
      <c r="G14" s="49" t="n"/>
      <c r="H14" s="49" t="n"/>
      <c r="I14" s="49" t="n"/>
      <c r="J14" s="49" t="n"/>
      <c r="K14" s="49" t="n"/>
      <c r="L14" s="49" t="n"/>
      <c r="M14" s="49" t="n"/>
      <c r="N14" s="49" t="n"/>
      <c r="O14" s="49" t="n"/>
      <c r="P14" s="49" t="n"/>
      <c r="Q14" s="49" t="n"/>
      <c r="R14" s="49" t="n"/>
      <c r="S14" s="49" t="n"/>
      <c r="T14" s="49" t="n"/>
      <c r="U14" s="49" t="n"/>
      <c r="V14" s="49" t="n"/>
      <c r="W14" s="50">
        <f>SUM(B14:V14)</f>
        <v/>
      </c>
      <c r="X14" s="51" t="inlineStr">
        <is>
          <t>% of Correct Responses</t>
        </is>
      </c>
      <c r="Y14" s="51" t="inlineStr">
        <is>
          <t>Rank</t>
        </is>
      </c>
      <c r="Z14" s="51" t="inlineStr">
        <is>
          <t>Level of Mastery</t>
        </is>
      </c>
      <c r="AA14" s="51" t="inlineStr">
        <is>
          <t>Instructional Assistance</t>
        </is>
      </c>
      <c r="AB14" s="40" t="n"/>
    </row>
    <row r="15">
      <c r="A15" s="52" t="inlineStr">
        <is>
          <t>Item No.</t>
        </is>
      </c>
      <c r="B15" s="53" t="n"/>
      <c r="C15" s="54" t="n"/>
      <c r="D15" s="54" t="n"/>
      <c r="E15" s="54" t="n"/>
      <c r="F15" s="54" t="n"/>
      <c r="G15" s="54" t="n"/>
      <c r="H15" s="54" t="n"/>
      <c r="I15" s="54" t="n"/>
      <c r="J15" s="54" t="n"/>
      <c r="K15" s="54" t="n"/>
      <c r="L15" s="54" t="n"/>
      <c r="M15" s="54" t="n"/>
      <c r="N15" s="54" t="n"/>
      <c r="O15" s="54" t="n"/>
      <c r="P15" s="54" t="n"/>
      <c r="Q15" s="54" t="n"/>
      <c r="R15" s="54" t="n"/>
      <c r="S15" s="54" t="n"/>
      <c r="T15" s="54" t="n"/>
      <c r="U15" s="54" t="n"/>
      <c r="V15" s="54" t="n"/>
      <c r="W15" s="54" t="n"/>
      <c r="X15" s="54" t="n"/>
      <c r="Y15" s="54" t="n"/>
      <c r="Z15" s="54" t="n"/>
      <c r="AA15" s="54" t="n"/>
      <c r="AB15" s="69" t="n"/>
    </row>
    <row r="16">
      <c r="A16" s="52" t="n">
        <v>1</v>
      </c>
      <c r="B16" s="48" t="n"/>
      <c r="C16" s="55" t="n"/>
      <c r="D16" s="55" t="n"/>
      <c r="E16" s="55" t="n"/>
      <c r="F16" s="55" t="n"/>
      <c r="G16" s="55" t="n"/>
      <c r="H16" s="55" t="n"/>
      <c r="I16" s="55" t="n"/>
      <c r="J16" s="55" t="n"/>
      <c r="K16" s="55" t="n"/>
      <c r="L16" s="55" t="n"/>
      <c r="M16" s="55" t="n"/>
      <c r="N16" s="55" t="n"/>
      <c r="O16" s="55" t="n"/>
      <c r="P16" s="55" t="n"/>
      <c r="Q16" s="55" t="n"/>
      <c r="R16" s="55" t="n"/>
      <c r="S16" s="55" t="n"/>
      <c r="T16" s="55" t="n"/>
      <c r="U16" s="55" t="n"/>
      <c r="V16" s="55" t="n"/>
      <c r="W16" s="56">
        <f>IF(SUM(B16:V16)=0,"",SUM(B16:V16))</f>
        <v/>
      </c>
      <c r="X16" s="57">
        <f>IF(COUNTBLANK(B16:V16)=21,"",ROUND((W16/($W$14))*100,2))</f>
        <v/>
      </c>
      <c r="Y16" s="56">
        <f>RANK(X16,$X$16:$X$75,0)</f>
        <v/>
      </c>
      <c r="Z16" s="58">
        <f>IF(X16="","",IF(X16&lt;=24,"Not Proficient",IF(X16&lt;=49,"Low Proficient",IF(X16&lt;=74,"Nearly Proficient",IF(Y16&lt;=89,"Proficient",IF(Y16&lt;=100,"Highly Proficient"))))))</f>
        <v/>
      </c>
      <c r="AA16" s="58">
        <f>IF(Z16="","",IF(Z16="Not Proficient","Reteach",IF(Z16="Low Proficient","Remediation",IF(Z16="Nearly Proficient","Intervention",IF(Z16="Proficient","Enhancement",IF(Z16="Highly Proficient","Advancement"))))))</f>
        <v/>
      </c>
      <c r="AB16" s="69" t="n"/>
    </row>
    <row r="17">
      <c r="A17" s="52">
        <f>A16+1</f>
        <v/>
      </c>
      <c r="B17" s="48" t="n"/>
      <c r="C17" s="55" t="n"/>
      <c r="D17" s="55" t="n"/>
      <c r="E17" s="55" t="n"/>
      <c r="F17" s="55" t="n"/>
      <c r="G17" s="55" t="n"/>
      <c r="H17" s="55" t="n"/>
      <c r="I17" s="55" t="n"/>
      <c r="J17" s="55" t="n"/>
      <c r="K17" s="55" t="n"/>
      <c r="L17" s="55" t="n"/>
      <c r="M17" s="55" t="n"/>
      <c r="N17" s="55" t="n"/>
      <c r="O17" s="55" t="n"/>
      <c r="P17" s="55" t="n"/>
      <c r="Q17" s="55" t="n"/>
      <c r="R17" s="55" t="n"/>
      <c r="S17" s="55" t="n"/>
      <c r="T17" s="55" t="n"/>
      <c r="U17" s="55" t="n"/>
      <c r="V17" s="55" t="n"/>
      <c r="W17" s="56">
        <f>IF(SUM(B17:V17)=0,"",SUM(B17:V17))</f>
        <v/>
      </c>
      <c r="X17" s="57">
        <f>IF(COUNTBLANK(B17:V17)=21,"",ROUND((W17/($W$14))*100,2))</f>
        <v/>
      </c>
      <c r="Y17" s="56">
        <f>RANK(X17,$X$16:$X$75,0)</f>
        <v/>
      </c>
      <c r="Z17" s="58">
        <f>IF(X17="","",IF(X17&lt;=24,"Not Proficient",IF(X17&lt;=49,"Low Proficient",IF(X17&lt;=74,"Nearly Proficient",IF(Y17&lt;=89,"Proficient",IF(Y17&lt;=100,"Highly Proficient"))))))</f>
        <v/>
      </c>
      <c r="AA17" s="58">
        <f>IF(Z17="","",IF(Z17="Not Proficient","Reteach",IF(Z17="Low Proficient","Remediation",IF(Z17="Nearly Proficient","Intervention",IF(Z17="Proficient","Enhancement",IF(Z17="Highly Proficient","Advancement"))))))</f>
        <v/>
      </c>
      <c r="AB17" s="69" t="n"/>
      <c r="AC17" s="69" t="n"/>
      <c r="AD17" s="69" t="n"/>
    </row>
    <row r="18">
      <c r="A18" s="52">
        <f>A17+1</f>
        <v/>
      </c>
      <c r="B18" s="48" t="n"/>
      <c r="C18" s="55" t="n"/>
      <c r="D18" s="55" t="n"/>
      <c r="E18" s="55" t="n"/>
      <c r="F18" s="55" t="n"/>
      <c r="G18" s="55" t="n"/>
      <c r="H18" s="55" t="n"/>
      <c r="I18" s="55" t="n"/>
      <c r="J18" s="55" t="n"/>
      <c r="K18" s="55" t="n"/>
      <c r="L18" s="55" t="n"/>
      <c r="M18" s="55" t="n"/>
      <c r="N18" s="55" t="n"/>
      <c r="O18" s="55" t="n"/>
      <c r="P18" s="55" t="n"/>
      <c r="Q18" s="55" t="n"/>
      <c r="R18" s="55" t="n"/>
      <c r="S18" s="55" t="n"/>
      <c r="T18" s="55" t="n"/>
      <c r="U18" s="55" t="n"/>
      <c r="V18" s="55" t="n"/>
      <c r="W18" s="56">
        <f>IF(SUM(B18:V18)=0,"",SUM(B18:V18))</f>
        <v/>
      </c>
      <c r="X18" s="57">
        <f>IF(COUNTBLANK(B18:V18)=21,"",ROUND((W18/($W$14))*100,2))</f>
        <v/>
      </c>
      <c r="Y18" s="56">
        <f>RANK(X18,$X$16:$X$75,0)</f>
        <v/>
      </c>
      <c r="Z18" s="58">
        <f>IF(X18="","",IF(X18&lt;=24,"Not Proficient",IF(X18&lt;=49,"Low Proficient",IF(X18&lt;=74,"Nearly Proficient",IF(Y18&lt;=89,"Proficient",IF(Y18&lt;=100,"Highly Proficient"))))))</f>
        <v/>
      </c>
      <c r="AA18" s="58">
        <f>IF(Z18="","",IF(Z18="Not Proficient","Reteach",IF(Z18="Low Proficient","Remediation",IF(Z18="Nearly Proficient","Intervention",IF(Z18="Proficient","Enhancement",IF(Z18="Highly Proficient","Advancement"))))))</f>
        <v/>
      </c>
      <c r="AB18" s="69" t="n"/>
      <c r="AC18" s="69" t="n"/>
      <c r="AD18" s="69" t="n"/>
    </row>
    <row r="19">
      <c r="A19" s="52">
        <f>A18+1</f>
        <v/>
      </c>
      <c r="B19" s="48" t="n"/>
      <c r="C19" s="55" t="n"/>
      <c r="D19" s="55" t="n"/>
      <c r="E19" s="55" t="n"/>
      <c r="F19" s="55" t="n"/>
      <c r="G19" s="55" t="n"/>
      <c r="H19" s="55" t="n"/>
      <c r="I19" s="55" t="n"/>
      <c r="J19" s="55" t="n"/>
      <c r="K19" s="55" t="n"/>
      <c r="L19" s="55" t="n"/>
      <c r="M19" s="55" t="n"/>
      <c r="N19" s="55" t="n"/>
      <c r="O19" s="55" t="n"/>
      <c r="P19" s="55" t="n"/>
      <c r="Q19" s="55" t="n"/>
      <c r="R19" s="55" t="n"/>
      <c r="S19" s="55" t="n"/>
      <c r="T19" s="55" t="n"/>
      <c r="U19" s="55" t="n"/>
      <c r="V19" s="55" t="n"/>
      <c r="W19" s="56">
        <f>IF(SUM(B19:V19)=0,"",SUM(B19:V19))</f>
        <v/>
      </c>
      <c r="X19" s="57">
        <f>IF(COUNTBLANK(B19:V19)=21,"",ROUND((W19/($W$14))*100,2))</f>
        <v/>
      </c>
      <c r="Y19" s="56">
        <f>RANK(X19,$X$16:$X$75,0)</f>
        <v/>
      </c>
      <c r="Z19" s="58">
        <f>IF(X19="","",IF(X19&lt;=24,"Not Proficient",IF(X19&lt;=49,"Low Proficient",IF(X19&lt;=74,"Nearly Proficient",IF(Y19&lt;=89,"Proficient",IF(Y19&lt;=100,"Highly Proficient"))))))</f>
        <v/>
      </c>
      <c r="AA19" s="58">
        <f>IF(Z19="","",IF(Z19="Not Proficient","Reteach",IF(Z19="Low Proficient","Remediation",IF(Z19="Nearly Proficient","Intervention",IF(Z19="Proficient","Enhancement",IF(Z19="Highly Proficient","Advancement"))))))</f>
        <v/>
      </c>
      <c r="AB19" s="69" t="n"/>
      <c r="AC19" s="69" t="n"/>
      <c r="AD19" s="69">
        <f t="array" ref="AD19:AD74">_xlfn._xlws.SORT(_xlfn._xlws.FILTER(Y16:Y75,Y16:Y75&lt;=LARGE(Y16:Y75,5)),1,1)</f>
        <v/>
      </c>
    </row>
    <row r="20">
      <c r="A20" s="52">
        <f>A19+1</f>
        <v/>
      </c>
      <c r="B20" s="48" t="n"/>
      <c r="C20" s="55" t="n"/>
      <c r="D20" s="55" t="n"/>
      <c r="E20" s="55" t="n"/>
      <c r="F20" s="55" t="n"/>
      <c r="G20" s="55" t="n"/>
      <c r="H20" s="55" t="n"/>
      <c r="I20" s="55" t="n"/>
      <c r="J20" s="55" t="n"/>
      <c r="K20" s="55" t="n"/>
      <c r="L20" s="55" t="n"/>
      <c r="M20" s="55" t="n"/>
      <c r="N20" s="55" t="n"/>
      <c r="O20" s="55" t="n"/>
      <c r="P20" s="55" t="n"/>
      <c r="Q20" s="55" t="n"/>
      <c r="R20" s="55" t="n"/>
      <c r="S20" s="55" t="n"/>
      <c r="T20" s="55" t="n"/>
      <c r="U20" s="55" t="n"/>
      <c r="V20" s="55" t="n"/>
      <c r="W20" s="56">
        <f>IF(SUM(B20:V20)=0,"",SUM(B20:V20))</f>
        <v/>
      </c>
      <c r="X20" s="57">
        <f>IF(COUNTBLANK(B20:V20)=21,"",ROUND((W20/($W$14))*100,2))</f>
        <v/>
      </c>
      <c r="Y20" s="56">
        <f>RANK(X20,$X$16:$X$75,0)</f>
        <v/>
      </c>
      <c r="Z20" s="58">
        <f>IF(X20="","",IF(X20&lt;=24,"Not Proficient",IF(X20&lt;=49,"Low Proficient",IF(X20&lt;=74,"Nearly Proficient",IF(Y20&lt;=89,"Proficient",IF(Y20&lt;=100,"Highly Proficient"))))))</f>
        <v/>
      </c>
      <c r="AA20" s="58">
        <f>IF(Z20="","",IF(Z20="Not Proficient","Reteach",IF(Z20="Low Proficient","Remediation",IF(Z20="Nearly Proficient","Intervention",IF(Z20="Proficient","Enhancement",IF(Z20="Highly Proficient","Advancement"))))))</f>
        <v/>
      </c>
      <c r="AB20" s="69" t="n"/>
      <c r="AC20" s="69" t="n"/>
      <c r="AD20" s="69" t="n">
        <v>2</v>
      </c>
    </row>
    <row r="21">
      <c r="A21" s="52">
        <f>A20+1</f>
        <v/>
      </c>
      <c r="B21" s="48" t="n"/>
      <c r="C21" s="55" t="n"/>
      <c r="D21" s="55" t="n"/>
      <c r="E21" s="55" t="n"/>
      <c r="F21" s="55" t="n"/>
      <c r="G21" s="55" t="n"/>
      <c r="H21" s="55" t="n"/>
      <c r="I21" s="55" t="n"/>
      <c r="J21" s="55" t="n"/>
      <c r="K21" s="55" t="n"/>
      <c r="L21" s="55" t="n"/>
      <c r="M21" s="55" t="n"/>
      <c r="N21" s="55" t="n"/>
      <c r="O21" s="55" t="n"/>
      <c r="P21" s="55" t="n"/>
      <c r="Q21" s="55" t="n"/>
      <c r="R21" s="55" t="n"/>
      <c r="S21" s="55" t="n"/>
      <c r="T21" s="55" t="n"/>
      <c r="U21" s="55" t="n"/>
      <c r="V21" s="55" t="n"/>
      <c r="W21" s="56">
        <f>IF(SUM(B21:V21)=0,"",SUM(B21:V21))</f>
        <v/>
      </c>
      <c r="X21" s="57">
        <f>IF(COUNTBLANK(B21:V21)=21,"",ROUND((W21/($W$14))*100,2))</f>
        <v/>
      </c>
      <c r="Y21" s="56">
        <f>RANK(X21,$X$16:$X$75,0)</f>
        <v/>
      </c>
      <c r="Z21" s="58">
        <f>IF(X21="","",IF(X21&lt;=24,"Not Proficient",IF(X21&lt;=49,"Low Proficient",IF(X21&lt;=74,"Nearly Proficient",IF(Y21&lt;=89,"Proficient",IF(Y21&lt;=100,"Highly Proficient"))))))</f>
        <v/>
      </c>
      <c r="AA21" s="58">
        <f>IF(Z21="","",IF(Z21="Not Proficient","Reteach",IF(Z21="Low Proficient","Remediation",IF(Z21="Nearly Proficient","Intervention",IF(Z21="Proficient","Enhancement",IF(Z21="Highly Proficient","Advancement"))))))</f>
        <v/>
      </c>
      <c r="AB21" s="69" t="n"/>
      <c r="AC21" s="69" t="n"/>
      <c r="AD21" s="69" t="n">
        <v>3</v>
      </c>
    </row>
    <row r="22" s="1">
      <c r="A22" s="52">
        <f>A21+1</f>
        <v/>
      </c>
      <c r="B22" s="48" t="n"/>
      <c r="C22" s="55" t="n"/>
      <c r="D22" s="55" t="n"/>
      <c r="E22" s="55" t="n"/>
      <c r="F22" s="55" t="n"/>
      <c r="G22" s="55" t="n"/>
      <c r="H22" s="55" t="n"/>
      <c r="I22" s="55" t="n"/>
      <c r="J22" s="55" t="n"/>
      <c r="K22" s="55" t="n"/>
      <c r="L22" s="55" t="n"/>
      <c r="M22" s="55" t="n"/>
      <c r="N22" s="55" t="n"/>
      <c r="O22" s="55" t="n"/>
      <c r="P22" s="55" t="n"/>
      <c r="Q22" s="55" t="n"/>
      <c r="R22" s="55" t="n"/>
      <c r="S22" s="55" t="n"/>
      <c r="T22" s="55" t="n"/>
      <c r="U22" s="55" t="n"/>
      <c r="V22" s="55" t="n"/>
      <c r="W22" s="56">
        <f>IF(SUM(B22:V22)=0,"",SUM(B22:V22))</f>
        <v/>
      </c>
      <c r="X22" s="57">
        <f>IF(COUNTBLANK(B22:V22)=21,"",ROUND((W22/($W$14))*100,2))</f>
        <v/>
      </c>
      <c r="Y22" s="56">
        <f>RANK(X22,$X$16:$X$75,0)</f>
        <v/>
      </c>
      <c r="Z22" s="58">
        <f>IF(X22="","",IF(X22&lt;=24,"Not Proficient",IF(X22&lt;=49,"Low Proficient",IF(X22&lt;=74,"Nearly Proficient",IF(Y22&lt;=89,"Proficient",IF(Y22&lt;=100,"Highly Proficient"))))))</f>
        <v/>
      </c>
      <c r="AA22" s="58">
        <f>IF(Z22="","",IF(Z22="Not Proficient","Reteach",IF(Z22="Low Proficient","Remediation",IF(Z22="Nearly Proficient","Intervention",IF(Z22="Proficient","Enhancement",IF(Z22="Highly Proficient","Advancement"))))))</f>
        <v/>
      </c>
      <c r="AB22" s="69" t="n"/>
      <c r="AC22" s="69" t="n"/>
      <c r="AD22" s="69" t="n">
        <v>4</v>
      </c>
    </row>
    <row r="23" s="1">
      <c r="A23" s="52">
        <f>A22+1</f>
        <v/>
      </c>
      <c r="B23" s="48" t="n"/>
      <c r="C23" s="55" t="n"/>
      <c r="D23" s="55" t="n"/>
      <c r="E23" s="55" t="n"/>
      <c r="F23" s="55" t="n"/>
      <c r="G23" s="55" t="n"/>
      <c r="H23" s="55" t="n"/>
      <c r="I23" s="55" t="n"/>
      <c r="J23" s="55" t="n"/>
      <c r="K23" s="55" t="n"/>
      <c r="L23" s="55" t="n"/>
      <c r="M23" s="55" t="n"/>
      <c r="N23" s="55" t="n"/>
      <c r="O23" s="55" t="n"/>
      <c r="P23" s="55" t="n"/>
      <c r="Q23" s="55" t="n"/>
      <c r="R23" s="55" t="n"/>
      <c r="S23" s="55" t="n"/>
      <c r="T23" s="55" t="n"/>
      <c r="U23" s="55" t="n"/>
      <c r="V23" s="55" t="n"/>
      <c r="W23" s="56">
        <f>IF(SUM(B23:V23)=0,"",SUM(B23:V23))</f>
        <v/>
      </c>
      <c r="X23" s="57">
        <f>IF(COUNTBLANK(B23:V23)=21,"",ROUND((W23/($W$14))*100,2))</f>
        <v/>
      </c>
      <c r="Y23" s="56">
        <f>RANK(X23,$X$16:$X$75,0)</f>
        <v/>
      </c>
      <c r="Z23" s="58">
        <f>IF(X23="","",IF(X23&lt;=24,"Not Proficient",IF(X23&lt;=49,"Low Proficient",IF(X23&lt;=74,"Nearly Proficient",IF(Y23&lt;=89,"Proficient",IF(Y23&lt;=100,"Highly Proficient"))))))</f>
        <v/>
      </c>
      <c r="AA23" s="58">
        <f>IF(Z23="","",IF(Z23="Not Proficient","Reteach",IF(Z23="Low Proficient","Remediation",IF(Z23="Nearly Proficient","Intervention",IF(Z23="Proficient","Enhancement",IF(Z23="Highly Proficient","Advancement"))))))</f>
        <v/>
      </c>
      <c r="AB23" s="69" t="n"/>
      <c r="AC23" s="69" t="n"/>
      <c r="AD23" s="69" t="n">
        <v>5</v>
      </c>
    </row>
    <row r="24" s="1">
      <c r="A24" s="52">
        <f>A23+1</f>
        <v/>
      </c>
      <c r="B24" s="48" t="n"/>
      <c r="C24" s="55" t="n"/>
      <c r="D24" s="55" t="n"/>
      <c r="E24" s="55" t="n"/>
      <c r="F24" s="55" t="n"/>
      <c r="G24" s="55" t="n"/>
      <c r="H24" s="55" t="n"/>
      <c r="I24" s="55" t="n"/>
      <c r="J24" s="55" t="n"/>
      <c r="K24" s="55" t="n"/>
      <c r="L24" s="55" t="n"/>
      <c r="M24" s="55" t="n"/>
      <c r="N24" s="55" t="n"/>
      <c r="O24" s="55" t="n"/>
      <c r="P24" s="55" t="n"/>
      <c r="Q24" s="55" t="n"/>
      <c r="R24" s="55" t="n"/>
      <c r="S24" s="55" t="n"/>
      <c r="T24" s="55" t="n"/>
      <c r="U24" s="55" t="n"/>
      <c r="V24" s="55" t="n"/>
      <c r="W24" s="56">
        <f>IF(SUM(B24:V24)=0,"",SUM(B24:V24))</f>
        <v/>
      </c>
      <c r="X24" s="57">
        <f>IF(COUNTBLANK(B24:V24)=21,"",ROUND((W24/($W$14))*100,2))</f>
        <v/>
      </c>
      <c r="Y24" s="56">
        <f>RANK(X24,$X$16:$X$75,0)</f>
        <v/>
      </c>
      <c r="Z24" s="58">
        <f>IF(X24="","",IF(X24&lt;=24,"Not Proficient",IF(X24&lt;=49,"Low Proficient",IF(X24&lt;=74,"Nearly Proficient",IF(Y24&lt;=89,"Proficient",IF(Y24&lt;=100,"Highly Proficient"))))))</f>
        <v/>
      </c>
      <c r="AA24" s="58">
        <f>IF(Z24="","",IF(Z24="Not Proficient","Reteach",IF(Z24="Low Proficient","Remediation",IF(Z24="Nearly Proficient","Intervention",IF(Z24="Proficient","Enhancement",IF(Z24="Highly Proficient","Advancement"))))))</f>
        <v/>
      </c>
      <c r="AB24" s="69" t="n"/>
      <c r="AC24" s="69" t="n"/>
      <c r="AD24" s="69" t="n">
        <v>6</v>
      </c>
    </row>
    <row r="25" s="1">
      <c r="A25" s="52">
        <f>A24+1</f>
        <v/>
      </c>
      <c r="B25" s="48" t="n"/>
      <c r="C25" s="55" t="n"/>
      <c r="D25" s="55" t="n"/>
      <c r="E25" s="55" t="n"/>
      <c r="F25" s="55" t="n"/>
      <c r="G25" s="55" t="n"/>
      <c r="H25" s="55" t="n"/>
      <c r="I25" s="55" t="n"/>
      <c r="J25" s="55" t="n"/>
      <c r="K25" s="55" t="n"/>
      <c r="L25" s="55" t="n"/>
      <c r="M25" s="55" t="n"/>
      <c r="N25" s="55" t="n"/>
      <c r="O25" s="55" t="n"/>
      <c r="P25" s="55" t="n"/>
      <c r="Q25" s="55" t="n"/>
      <c r="R25" s="55" t="n"/>
      <c r="S25" s="55" t="n"/>
      <c r="T25" s="55" t="n"/>
      <c r="U25" s="55" t="n"/>
      <c r="V25" s="55" t="n"/>
      <c r="W25" s="56">
        <f>IF(SUM(B25:V25)=0,"",SUM(B25:V25))</f>
        <v/>
      </c>
      <c r="X25" s="57">
        <f>IF(COUNTBLANK(B25:V25)=21,"",ROUND((W25/($W$14))*100,2))</f>
        <v/>
      </c>
      <c r="Y25" s="56">
        <f>RANK(X25,$X$16:$X$75,0)</f>
        <v/>
      </c>
      <c r="Z25" s="58">
        <f>IF(X25="","",IF(X25&lt;=24,"Not Proficient",IF(X25&lt;=49,"Low Proficient",IF(X25&lt;=74,"Nearly Proficient",IF(Y25&lt;=89,"Proficient",IF(Y25&lt;=100,"Highly Proficient"))))))</f>
        <v/>
      </c>
      <c r="AA25" s="58">
        <f>IF(Z25="","",IF(Z25="Not Proficient","Reteach",IF(Z25="Low Proficient","Remediation",IF(Z25="Nearly Proficient","Intervention",IF(Z25="Proficient","Enhancement",IF(Z25="Highly Proficient","Advancement"))))))</f>
        <v/>
      </c>
      <c r="AB25" s="69" t="n"/>
      <c r="AC25" s="69" t="n"/>
      <c r="AD25" s="69" t="n">
        <v>7</v>
      </c>
    </row>
    <row r="26" s="1">
      <c r="A26" s="52">
        <f>A25+1</f>
        <v/>
      </c>
      <c r="B26" s="48" t="n"/>
      <c r="C26" s="55" t="n"/>
      <c r="D26" s="55" t="n"/>
      <c r="E26" s="55" t="n"/>
      <c r="F26" s="55" t="n"/>
      <c r="G26" s="55" t="n"/>
      <c r="H26" s="55" t="n"/>
      <c r="I26" s="55" t="n"/>
      <c r="J26" s="55" t="n"/>
      <c r="K26" s="55" t="n"/>
      <c r="L26" s="55" t="n"/>
      <c r="M26" s="55" t="n"/>
      <c r="N26" s="55" t="n"/>
      <c r="O26" s="55" t="n"/>
      <c r="P26" s="55" t="n"/>
      <c r="Q26" s="55" t="n"/>
      <c r="R26" s="55" t="n"/>
      <c r="S26" s="55" t="n"/>
      <c r="T26" s="55" t="n"/>
      <c r="U26" s="55" t="n"/>
      <c r="V26" s="55" t="n"/>
      <c r="W26" s="56">
        <f>IF(SUM(B26:V26)=0,"",SUM(B26:V26))</f>
        <v/>
      </c>
      <c r="X26" s="57">
        <f>IF(COUNTBLANK(B26:V26)=21,"",ROUND((W26/($W$14))*100,2))</f>
        <v/>
      </c>
      <c r="Y26" s="56">
        <f>RANK(X26,$X$16:$X$75,0)</f>
        <v/>
      </c>
      <c r="Z26" s="58">
        <f>IF(X26="","",IF(X26&lt;=24,"Not Proficient",IF(X26&lt;=49,"Low Proficient",IF(X26&lt;=74,"Nearly Proficient",IF(Y26&lt;=89,"Proficient",IF(Y26&lt;=100,"Highly Proficient"))))))</f>
        <v/>
      </c>
      <c r="AA26" s="58">
        <f>IF(Z26="","",IF(Z26="Not Proficient","Reteach",IF(Z26="Low Proficient","Remediation",IF(Z26="Nearly Proficient","Intervention",IF(Z26="Proficient","Enhancement",IF(Z26="Highly Proficient","Advancement"))))))</f>
        <v/>
      </c>
      <c r="AB26" s="69" t="n"/>
      <c r="AC26" s="69" t="n"/>
      <c r="AD26" s="69" t="n">
        <v>8</v>
      </c>
    </row>
    <row r="27" s="1">
      <c r="A27" s="52">
        <f>A26+1</f>
        <v/>
      </c>
      <c r="B27" s="48" t="n"/>
      <c r="C27" s="55" t="n"/>
      <c r="D27" s="55" t="n"/>
      <c r="E27" s="55" t="n"/>
      <c r="F27" s="55" t="n"/>
      <c r="G27" s="55" t="n"/>
      <c r="H27" s="55" t="n"/>
      <c r="I27" s="55" t="n"/>
      <c r="J27" s="55" t="n"/>
      <c r="K27" s="55" t="n"/>
      <c r="L27" s="55" t="n"/>
      <c r="M27" s="55" t="n"/>
      <c r="N27" s="55" t="n"/>
      <c r="O27" s="55" t="n"/>
      <c r="P27" s="55" t="n"/>
      <c r="Q27" s="55" t="n"/>
      <c r="R27" s="55" t="n"/>
      <c r="S27" s="55" t="n"/>
      <c r="T27" s="55" t="n"/>
      <c r="U27" s="55" t="n"/>
      <c r="V27" s="55" t="n"/>
      <c r="W27" s="56">
        <f>IF(SUM(B27:V27)=0,"",SUM(B27:V27))</f>
        <v/>
      </c>
      <c r="X27" s="57">
        <f>IF(COUNTBLANK(B27:V27)=21,"",ROUND((W27/($W$14))*100,2))</f>
        <v/>
      </c>
      <c r="Y27" s="56">
        <f>RANK(X27,$X$16:$X$75,0)</f>
        <v/>
      </c>
      <c r="Z27" s="58">
        <f>IF(X27="","",IF(X27&lt;=24,"Not Proficient",IF(X27&lt;=49,"Low Proficient",IF(X27&lt;=74,"Nearly Proficient",IF(Y27&lt;=89,"Proficient",IF(Y27&lt;=100,"Highly Proficient"))))))</f>
        <v/>
      </c>
      <c r="AA27" s="58">
        <f>IF(Z27="","",IF(Z27="Not Proficient","Reteach",IF(Z27="Low Proficient","Remediation",IF(Z27="Nearly Proficient","Intervention",IF(Z27="Proficient","Enhancement",IF(Z27="Highly Proficient","Advancement"))))))</f>
        <v/>
      </c>
      <c r="AB27" s="69" t="n"/>
      <c r="AC27" s="69" t="n"/>
      <c r="AD27" s="69" t="n">
        <v>9</v>
      </c>
    </row>
    <row r="28" s="1">
      <c r="A28" s="52">
        <f>A27+1</f>
        <v/>
      </c>
      <c r="B28" s="48" t="n"/>
      <c r="C28" s="55" t="n"/>
      <c r="D28" s="55" t="n"/>
      <c r="E28" s="55" t="n"/>
      <c r="F28" s="55" t="n"/>
      <c r="G28" s="55" t="n"/>
      <c r="H28" s="55" t="n"/>
      <c r="I28" s="55" t="n"/>
      <c r="J28" s="55" t="n"/>
      <c r="K28" s="55" t="n"/>
      <c r="L28" s="55" t="n"/>
      <c r="M28" s="55" t="n"/>
      <c r="N28" s="55" t="n"/>
      <c r="O28" s="55" t="n"/>
      <c r="P28" s="55" t="n"/>
      <c r="Q28" s="55" t="n"/>
      <c r="R28" s="55" t="n"/>
      <c r="S28" s="55" t="n"/>
      <c r="T28" s="55" t="n"/>
      <c r="U28" s="55" t="n"/>
      <c r="V28" s="55" t="n"/>
      <c r="W28" s="56">
        <f>IF(SUM(B28:V28)=0,"",SUM(B28:V28))</f>
        <v/>
      </c>
      <c r="X28" s="57">
        <f>IF(COUNTBLANK(B28:V28)=21,"",ROUND((W28/($W$14))*100,2))</f>
        <v/>
      </c>
      <c r="Y28" s="56">
        <f>RANK(X28,$X$16:$X$75,0)</f>
        <v/>
      </c>
      <c r="Z28" s="58">
        <f>IF(X28="","",IF(X28&lt;=24,"Not Proficient",IF(X28&lt;=49,"Low Proficient",IF(X28&lt;=74,"Nearly Proficient",IF(Y28&lt;=89,"Proficient",IF(Y28&lt;=100,"Highly Proficient"))))))</f>
        <v/>
      </c>
      <c r="AA28" s="58">
        <f>IF(Z28="","",IF(Z28="Not Proficient","Reteach",IF(Z28="Low Proficient","Remediation",IF(Z28="Nearly Proficient","Intervention",IF(Z28="Proficient","Enhancement",IF(Z28="Highly Proficient","Advancement"))))))</f>
        <v/>
      </c>
      <c r="AB28" s="69" t="n"/>
      <c r="AC28" s="69" t="n"/>
      <c r="AD28" s="69" t="n">
        <v>9</v>
      </c>
    </row>
    <row r="29" s="1">
      <c r="A29" s="52">
        <f>A28+1</f>
        <v/>
      </c>
      <c r="B29" s="48" t="n"/>
      <c r="C29" s="55" t="n"/>
      <c r="D29" s="55" t="n"/>
      <c r="E29" s="55" t="n"/>
      <c r="F29" s="55" t="n"/>
      <c r="G29" s="55" t="n"/>
      <c r="H29" s="55" t="n"/>
      <c r="I29" s="55" t="n"/>
      <c r="J29" s="55" t="n"/>
      <c r="K29" s="55" t="n"/>
      <c r="L29" s="55" t="n"/>
      <c r="M29" s="55" t="n"/>
      <c r="N29" s="55" t="n"/>
      <c r="O29" s="55" t="n"/>
      <c r="P29" s="55" t="n"/>
      <c r="Q29" s="55" t="n"/>
      <c r="R29" s="55" t="n"/>
      <c r="S29" s="55" t="n"/>
      <c r="T29" s="55" t="n"/>
      <c r="U29" s="55" t="n"/>
      <c r="V29" s="55" t="n"/>
      <c r="W29" s="56">
        <f>IF(SUM(B29:V29)=0,"",SUM(B29:V29))</f>
        <v/>
      </c>
      <c r="X29" s="57">
        <f>IF(COUNTBLANK(B29:V29)=21,"",ROUND((W29/($W$14))*100,2))</f>
        <v/>
      </c>
      <c r="Y29" s="56">
        <f>RANK(X29,$X$16:$X$75,0)</f>
        <v/>
      </c>
      <c r="Z29" s="58">
        <f>IF(X29="","",IF(X29&lt;=24,"Not Proficient",IF(X29&lt;=49,"Low Proficient",IF(X29&lt;=74,"Nearly Proficient",IF(Y29&lt;=89,"Proficient",IF(Y29&lt;=100,"Highly Proficient"))))))</f>
        <v/>
      </c>
      <c r="AA29" s="58">
        <f>IF(Z29="","",IF(Z29="Not Proficient","Reteach",IF(Z29="Low Proficient","Remediation",IF(Z29="Nearly Proficient","Intervention",IF(Z29="Proficient","Enhancement",IF(Z29="Highly Proficient","Advancement"))))))</f>
        <v/>
      </c>
      <c r="AB29" s="69" t="n"/>
      <c r="AC29" s="69" t="n"/>
      <c r="AD29" s="69" t="n">
        <v>11</v>
      </c>
    </row>
    <row r="30" s="1">
      <c r="A30" s="52">
        <f>A29+1</f>
        <v/>
      </c>
      <c r="B30" s="48"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6">
        <f>IF(SUM(B30:V30)=0,"",SUM(B30:V30))</f>
        <v/>
      </c>
      <c r="X30" s="57">
        <f>IF(COUNTBLANK(B30:V30)=21,"",ROUND((W30/($W$14))*100,2))</f>
        <v/>
      </c>
      <c r="Y30" s="56">
        <f>RANK(X30,$X$16:$X$75,0)</f>
        <v/>
      </c>
      <c r="Z30" s="58">
        <f>IF(X30="","",IF(X30&lt;=24,"Not Proficient",IF(X30&lt;=49,"Low Proficient",IF(X30&lt;=74,"Nearly Proficient",IF(Y30&lt;=89,"Proficient",IF(Y30&lt;=100,"Highly Proficient"))))))</f>
        <v/>
      </c>
      <c r="AA30" s="58">
        <f>IF(Z30="","",IF(Z30="Not Proficient","Reteach",IF(Z30="Low Proficient","Remediation",IF(Z30="Nearly Proficient","Intervention",IF(Z30="Proficient","Enhancement",IF(Z30="Highly Proficient","Advancement"))))))</f>
        <v/>
      </c>
      <c r="AB30" s="69" t="n"/>
      <c r="AC30" s="69" t="n"/>
      <c r="AD30" s="69" t="n">
        <v>12</v>
      </c>
    </row>
    <row r="31" s="1">
      <c r="A31" s="52">
        <f>A30+1</f>
        <v/>
      </c>
      <c r="B31" s="48"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6">
        <f>IF(SUM(B31:V31)=0,"",SUM(B31:V31))</f>
        <v/>
      </c>
      <c r="X31" s="57">
        <f>IF(COUNTBLANK(B31:V31)=21,"",ROUND((W31/($W$14))*100,2))</f>
        <v/>
      </c>
      <c r="Y31" s="56">
        <f>RANK(X31,$X$16:$X$75,0)</f>
        <v/>
      </c>
      <c r="Z31" s="58">
        <f>IF(X31="","",IF(X31&lt;=24,"Not Proficient",IF(X31&lt;=49,"Low Proficient",IF(X31&lt;=74,"Nearly Proficient",IF(Y31&lt;=89,"Proficient",IF(Y31&lt;=100,"Highly Proficient"))))))</f>
        <v/>
      </c>
      <c r="AA31" s="58">
        <f>IF(Z31="","",IF(Z31="Not Proficient","Reteach",IF(Z31="Low Proficient","Remediation",IF(Z31="Nearly Proficient","Intervention",IF(Z31="Proficient","Enhancement",IF(Z31="Highly Proficient","Advancement"))))))</f>
        <v/>
      </c>
      <c r="AB31" s="69" t="n"/>
      <c r="AC31" s="69" t="n"/>
      <c r="AD31" s="69" t="n">
        <v>13</v>
      </c>
    </row>
    <row r="32" s="1">
      <c r="A32" s="52">
        <f>A31+1</f>
        <v/>
      </c>
      <c r="B32" s="48"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6">
        <f>IF(SUM(B32:V32)=0,"",SUM(B32:V32))</f>
        <v/>
      </c>
      <c r="X32" s="57">
        <f>IF(COUNTBLANK(B32:V32)=21,"",ROUND((W32/($W$14))*100,2))</f>
        <v/>
      </c>
      <c r="Y32" s="56">
        <f>RANK(X32,$X$16:$X$75,0)</f>
        <v/>
      </c>
      <c r="Z32" s="58">
        <f>IF(X32="","",IF(X32&lt;=24,"Not Proficient",IF(X32&lt;=49,"Low Proficient",IF(X32&lt;=74,"Nearly Proficient",IF(Y32&lt;=89,"Proficient",IF(Y32&lt;=100,"Highly Proficient"))))))</f>
        <v/>
      </c>
      <c r="AA32" s="58">
        <f>IF(Z32="","",IF(Z32="Not Proficient","Reteach",IF(Z32="Low Proficient","Remediation",IF(Z32="Nearly Proficient","Intervention",IF(Z32="Proficient","Enhancement",IF(Z32="Highly Proficient","Advancement"))))))</f>
        <v/>
      </c>
      <c r="AB32" s="69" t="n"/>
      <c r="AC32" s="69" t="n"/>
      <c r="AD32" s="69" t="n">
        <v>14</v>
      </c>
    </row>
    <row r="33" s="1">
      <c r="A33" s="52">
        <f>A32+1</f>
        <v/>
      </c>
      <c r="B33" s="48"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6">
        <f>IF(SUM(B33:V33)=0,"",SUM(B33:V33))</f>
        <v/>
      </c>
      <c r="X33" s="57">
        <f>IF(COUNTBLANK(B33:V33)=21,"",ROUND((W33/($W$14))*100,2))</f>
        <v/>
      </c>
      <c r="Y33" s="56">
        <f>RANK(X33,$X$16:$X$75,0)</f>
        <v/>
      </c>
      <c r="Z33" s="58">
        <f>IF(X33="","",IF(X33&lt;=24,"Not Proficient",IF(X33&lt;=49,"Low Proficient",IF(X33&lt;=74,"Nearly Proficient",IF(Y33&lt;=89,"Proficient",IF(Y33&lt;=100,"Highly Proficient"))))))</f>
        <v/>
      </c>
      <c r="AA33" s="58">
        <f>IF(Z33="","",IF(Z33="Not Proficient","Reteach",IF(Z33="Low Proficient","Remediation",IF(Z33="Nearly Proficient","Intervention",IF(Z33="Proficient","Enhancement",IF(Z33="Highly Proficient","Advancement"))))))</f>
        <v/>
      </c>
      <c r="AB33" s="69" t="n"/>
      <c r="AC33" s="69" t="n"/>
      <c r="AD33" s="69" t="n">
        <v>15</v>
      </c>
    </row>
    <row r="34" s="1">
      <c r="A34" s="52">
        <f>A33+1</f>
        <v/>
      </c>
      <c r="B34" s="48"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6">
        <f>IF(SUM(B34:V34)=0,"",SUM(B34:V34))</f>
        <v/>
      </c>
      <c r="X34" s="57">
        <f>IF(COUNTBLANK(B34:V34)=21,"",ROUND((W34/($W$14))*100,2))</f>
        <v/>
      </c>
      <c r="Y34" s="56">
        <f>RANK(X34,$X$16:$X$75,0)</f>
        <v/>
      </c>
      <c r="Z34" s="58">
        <f>IF(X34="","",IF(X34&lt;=24,"Not Proficient",IF(X34&lt;=49,"Low Proficient",IF(X34&lt;=74,"Nearly Proficient",IF(Y34&lt;=89,"Proficient",IF(Y34&lt;=100,"Highly Proficient"))))))</f>
        <v/>
      </c>
      <c r="AA34" s="58">
        <f>IF(Z34="","",IF(Z34="Not Proficient","Reteach",IF(Z34="Low Proficient","Remediation",IF(Z34="Nearly Proficient","Intervention",IF(Z34="Proficient","Enhancement",IF(Z34="Highly Proficient","Advancement"))))))</f>
        <v/>
      </c>
      <c r="AB34" s="69" t="n"/>
      <c r="AC34" s="69" t="n"/>
      <c r="AD34" s="69" t="n">
        <v>16</v>
      </c>
    </row>
    <row r="35" s="1">
      <c r="A35" s="52">
        <f>A34+1</f>
        <v/>
      </c>
      <c r="B35" s="48"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6">
        <f>IF(SUM(B35:V35)=0,"",SUM(B35:V35))</f>
        <v/>
      </c>
      <c r="X35" s="57">
        <f>IF(COUNTBLANK(B35:V35)=21,"",ROUND((W35/($W$14))*100,2))</f>
        <v/>
      </c>
      <c r="Y35" s="56">
        <f>RANK(X35,$X$16:$X$75,0)</f>
        <v/>
      </c>
      <c r="Z35" s="58">
        <f>IF(X35="","",IF(X35&lt;=24,"Not Proficient",IF(X35&lt;=49,"Low Proficient",IF(X35&lt;=74,"Nearly Proficient",IF(Y35&lt;=89,"Proficient",IF(Y35&lt;=100,"Highly Proficient"))))))</f>
        <v/>
      </c>
      <c r="AA35" s="58">
        <f>IF(Z35="","",IF(Z35="Not Proficient","Reteach",IF(Z35="Low Proficient","Remediation",IF(Z35="Nearly Proficient","Intervention",IF(Z35="Proficient","Enhancement",IF(Z35="Highly Proficient","Advancement"))))))</f>
        <v/>
      </c>
      <c r="AB35" s="69" t="n"/>
      <c r="AC35" s="69" t="n"/>
      <c r="AD35" s="69" t="n">
        <v>16</v>
      </c>
    </row>
    <row r="36" s="1">
      <c r="A36" s="52">
        <f>A35+1</f>
        <v/>
      </c>
      <c r="B36" s="48"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6">
        <f>IF(SUM(B36:V36)=0,"",SUM(B36:V36))</f>
        <v/>
      </c>
      <c r="X36" s="57">
        <f>IF(COUNTBLANK(B36:V36)=21,"",ROUND((W36/($W$14))*100,2))</f>
        <v/>
      </c>
      <c r="Y36" s="56">
        <f>RANK(X36,$X$16:$X$75,0)</f>
        <v/>
      </c>
      <c r="Z36" s="58">
        <f>IF(X36="","",IF(X36&lt;=24,"Not Proficient",IF(X36&lt;=49,"Low Proficient",IF(X36&lt;=74,"Nearly Proficient",IF(Y36&lt;=89,"Proficient",IF(Y36&lt;=100,"Highly Proficient"))))))</f>
        <v/>
      </c>
      <c r="AA36" s="58">
        <f>IF(Z36="","",IF(Z36="Not Proficient","Reteach",IF(Z36="Low Proficient","Remediation",IF(Z36="Nearly Proficient","Intervention",IF(Z36="Proficient","Enhancement",IF(Z36="Highly Proficient","Advancement"))))))</f>
        <v/>
      </c>
      <c r="AB36" s="69" t="n"/>
      <c r="AC36" s="69" t="n"/>
      <c r="AD36" s="69" t="n">
        <v>18</v>
      </c>
    </row>
    <row r="37" s="1">
      <c r="A37" s="52">
        <f>A36+1</f>
        <v/>
      </c>
      <c r="B37" s="48"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6">
        <f>IF(SUM(B37:V37)=0,"",SUM(B37:V37))</f>
        <v/>
      </c>
      <c r="X37" s="57">
        <f>IF(COUNTBLANK(B37:V37)=21,"",ROUND((W37/($W$14))*100,2))</f>
        <v/>
      </c>
      <c r="Y37" s="56">
        <f>RANK(X37,$X$16:$X$75,0)</f>
        <v/>
      </c>
      <c r="Z37" s="58">
        <f>IF(X37="","",IF(X37&lt;=24,"Not Proficient",IF(X37&lt;=49,"Low Proficient",IF(X37&lt;=74,"Nearly Proficient",IF(Y37&lt;=89,"Proficient",IF(Y37&lt;=100,"Highly Proficient"))))))</f>
        <v/>
      </c>
      <c r="AA37" s="58">
        <f>IF(Z37="","",IF(Z37="Not Proficient","Reteach",IF(Z37="Low Proficient","Remediation",IF(Z37="Nearly Proficient","Intervention",IF(Z37="Proficient","Enhancement",IF(Z37="Highly Proficient","Advancement"))))))</f>
        <v/>
      </c>
      <c r="AB37" s="69" t="n"/>
      <c r="AC37" s="69" t="n"/>
      <c r="AD37" s="69" t="n">
        <v>19</v>
      </c>
    </row>
    <row r="38" s="1">
      <c r="A38" s="52">
        <f>A37+1</f>
        <v/>
      </c>
      <c r="B38" s="48"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6">
        <f>IF(SUM(B38:V38)=0,"",SUM(B38:V38))</f>
        <v/>
      </c>
      <c r="X38" s="57">
        <f>IF(COUNTBLANK(B38:V38)=21,"",ROUND((W38/($W$14))*100,2))</f>
        <v/>
      </c>
      <c r="Y38" s="56">
        <f>RANK(X38,$X$16:$X$75,0)</f>
        <v/>
      </c>
      <c r="Z38" s="58">
        <f>IF(X38="","",IF(X38&lt;=24,"Not Proficient",IF(X38&lt;=49,"Low Proficient",IF(X38&lt;=74,"Nearly Proficient",IF(Y38&lt;=89,"Proficient",IF(Y38&lt;=100,"Highly Proficient"))))))</f>
        <v/>
      </c>
      <c r="AA38" s="58">
        <f>IF(Z38="","",IF(Z38="Not Proficient","Reteach",IF(Z38="Low Proficient","Remediation",IF(Z38="Nearly Proficient","Intervention",IF(Z38="Proficient","Enhancement",IF(Z38="Highly Proficient","Advancement"))))))</f>
        <v/>
      </c>
      <c r="AB38" s="69" t="n"/>
      <c r="AC38" s="69" t="n"/>
      <c r="AD38" s="69" t="n">
        <v>20</v>
      </c>
    </row>
    <row r="39" s="1">
      <c r="A39" s="52">
        <f>A38+1</f>
        <v/>
      </c>
      <c r="B39" s="48"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6">
        <f>IF(SUM(B39:V39)=0,"",SUM(B39:V39))</f>
        <v/>
      </c>
      <c r="X39" s="57">
        <f>IF(COUNTBLANK(B39:V39)=21,"",ROUND((W39/($W$14))*100,2))</f>
        <v/>
      </c>
      <c r="Y39" s="56">
        <f>RANK(X39,$X$16:$X$75,0)</f>
        <v/>
      </c>
      <c r="Z39" s="58">
        <f>IF(X39="","",IF(X39&lt;=24,"Not Proficient",IF(X39&lt;=49,"Low Proficient",IF(X39&lt;=74,"Nearly Proficient",IF(Y39&lt;=89,"Proficient",IF(Y39&lt;=100,"Highly Proficient"))))))</f>
        <v/>
      </c>
      <c r="AA39" s="58">
        <f>IF(Z39="","",IF(Z39="Not Proficient","Reteach",IF(Z39="Low Proficient","Remediation",IF(Z39="Nearly Proficient","Intervention",IF(Z39="Proficient","Enhancement",IF(Z39="Highly Proficient","Advancement"))))))</f>
        <v/>
      </c>
      <c r="AB39" s="69" t="n"/>
      <c r="AC39" s="69" t="n"/>
      <c r="AD39" s="69" t="n">
        <v>21</v>
      </c>
    </row>
    <row r="40" s="1">
      <c r="A40" s="52">
        <f>A39+1</f>
        <v/>
      </c>
      <c r="B40" s="48"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6">
        <f>IF(SUM(B40:V40)=0,"",SUM(B40:V40))</f>
        <v/>
      </c>
      <c r="X40" s="57">
        <f>IF(COUNTBLANK(B40:V40)=21,"",ROUND((W40/($W$14))*100,2))</f>
        <v/>
      </c>
      <c r="Y40" s="56">
        <f>RANK(X40,$X$16:$X$75,0)</f>
        <v/>
      </c>
      <c r="Z40" s="58">
        <f>IF(X40="","",IF(X40&lt;=24,"Not Proficient",IF(X40&lt;=49,"Low Proficient",IF(X40&lt;=74,"Nearly Proficient",IF(Y40&lt;=89,"Proficient",IF(Y40&lt;=100,"Highly Proficient"))))))</f>
        <v/>
      </c>
      <c r="AA40" s="58">
        <f>IF(Z40="","",IF(Z40="Not Proficient","Reteach",IF(Z40="Low Proficient","Remediation",IF(Z40="Nearly Proficient","Intervention",IF(Z40="Proficient","Enhancement",IF(Z40="Highly Proficient","Advancement"))))))</f>
        <v/>
      </c>
      <c r="AB40" s="69" t="n"/>
      <c r="AC40" s="69" t="n"/>
      <c r="AD40" s="69" t="n">
        <v>21</v>
      </c>
    </row>
    <row r="41" s="1">
      <c r="A41" s="52">
        <f>A40+1</f>
        <v/>
      </c>
      <c r="B41" s="48"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6">
        <f>IF(SUM(B41:V41)=0,"",SUM(B41:V41))</f>
        <v/>
      </c>
      <c r="X41" s="57">
        <f>IF(COUNTBLANK(B41:V41)=21,"",ROUND((W41/($W$14))*100,2))</f>
        <v/>
      </c>
      <c r="Y41" s="56">
        <f>RANK(X41,$X$16:$X$75,0)</f>
        <v/>
      </c>
      <c r="Z41" s="58">
        <f>IF(X41="","",IF(X41&lt;=24,"Not Proficient",IF(X41&lt;=49,"Low Proficient",IF(X41&lt;=74,"Nearly Proficient",IF(Y41&lt;=89,"Proficient",IF(Y41&lt;=100,"Highly Proficient"))))))</f>
        <v/>
      </c>
      <c r="AA41" s="58">
        <f>IF(Z41="","",IF(Z41="Not Proficient","Reteach",IF(Z41="Low Proficient","Remediation",IF(Z41="Nearly Proficient","Intervention",IF(Z41="Proficient","Enhancement",IF(Z41="Highly Proficient","Advancement"))))))</f>
        <v/>
      </c>
      <c r="AB41" s="69" t="n"/>
      <c r="AC41" s="69" t="n"/>
      <c r="AD41" s="69" t="n">
        <v>23</v>
      </c>
    </row>
    <row r="42" s="1">
      <c r="A42" s="52">
        <f>A41+1</f>
        <v/>
      </c>
      <c r="B42" s="48"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6">
        <f>IF(SUM(B42:V42)=0,"",SUM(B42:V42))</f>
        <v/>
      </c>
      <c r="X42" s="57">
        <f>IF(COUNTBLANK(B42:V42)=21,"",ROUND((W42/($W$14))*100,2))</f>
        <v/>
      </c>
      <c r="Y42" s="56">
        <f>RANK(X42,$X$16:$X$75,0)</f>
        <v/>
      </c>
      <c r="Z42" s="58">
        <f>IF(X42="","",IF(X42&lt;=24,"Not Proficient",IF(X42&lt;=49,"Low Proficient",IF(X42&lt;=74,"Nearly Proficient",IF(Y42&lt;=89,"Proficient",IF(Y42&lt;=100,"Highly Proficient"))))))</f>
        <v/>
      </c>
      <c r="AA42" s="58">
        <f>IF(Z42="","",IF(Z42="Not Proficient","Reteach",IF(Z42="Low Proficient","Remediation",IF(Z42="Nearly Proficient","Intervention",IF(Z42="Proficient","Enhancement",IF(Z42="Highly Proficient","Advancement"))))))</f>
        <v/>
      </c>
      <c r="AB42" s="69" t="n"/>
      <c r="AC42" s="69" t="n"/>
      <c r="AD42" s="69" t="n">
        <v>24</v>
      </c>
    </row>
    <row r="43" s="1">
      <c r="A43" s="52">
        <f>A42+1</f>
        <v/>
      </c>
      <c r="B43" s="48"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6">
        <f>IF(SUM(B43:V43)=0,"",SUM(B43:V43))</f>
        <v/>
      </c>
      <c r="X43" s="57">
        <f>IF(COUNTBLANK(B43:V43)=21,"",ROUND((W43/($W$14))*100,2))</f>
        <v/>
      </c>
      <c r="Y43" s="56">
        <f>RANK(X43,$X$16:$X$75,0)</f>
        <v/>
      </c>
      <c r="Z43" s="58">
        <f>IF(X43="","",IF(X43&lt;=24,"Not Proficient",IF(X43&lt;=49,"Low Proficient",IF(X43&lt;=74,"Nearly Proficient",IF(Y43&lt;=89,"Proficient",IF(Y43&lt;=100,"Highly Proficient"))))))</f>
        <v/>
      </c>
      <c r="AA43" s="58">
        <f>IF(Z43="","",IF(Z43="Not Proficient","Reteach",IF(Z43="Low Proficient","Remediation",IF(Z43="Nearly Proficient","Intervention",IF(Z43="Proficient","Enhancement",IF(Z43="Highly Proficient","Advancement"))))))</f>
        <v/>
      </c>
      <c r="AB43" s="69" t="n"/>
      <c r="AC43" s="69" t="n"/>
      <c r="AD43" s="69" t="n">
        <v>24</v>
      </c>
    </row>
    <row r="44" s="1">
      <c r="A44" s="52">
        <f>A43+1</f>
        <v/>
      </c>
      <c r="B44" s="48"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6">
        <f>IF(SUM(B44:V44)=0,"",SUM(B44:V44))</f>
        <v/>
      </c>
      <c r="X44" s="57">
        <f>IF(COUNTBLANK(B44:V44)=21,"",ROUND((W44/($W$14))*100,2))</f>
        <v/>
      </c>
      <c r="Y44" s="56">
        <f>RANK(X44,$X$16:$X$75,0)</f>
        <v/>
      </c>
      <c r="Z44" s="58">
        <f>IF(X44="","",IF(X44&lt;=24,"Not Proficient",IF(X44&lt;=49,"Low Proficient",IF(X44&lt;=74,"Nearly Proficient",IF(Y44&lt;=89,"Proficient",IF(Y44&lt;=100,"Highly Proficient"))))))</f>
        <v/>
      </c>
      <c r="AA44" s="58">
        <f>IF(Z44="","",IF(Z44="Not Proficient","Reteach",IF(Z44="Low Proficient","Remediation",IF(Z44="Nearly Proficient","Intervention",IF(Z44="Proficient","Enhancement",IF(Z44="Highly Proficient","Advancement"))))))</f>
        <v/>
      </c>
      <c r="AB44" s="69" t="n"/>
      <c r="AC44" s="69" t="n"/>
      <c r="AD44" s="69" t="n">
        <v>26</v>
      </c>
    </row>
    <row r="45" s="1">
      <c r="A45" s="52">
        <f>A44+1</f>
        <v/>
      </c>
      <c r="B45" s="48"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6">
        <f>IF(SUM(B45:V45)=0,"",SUM(B45:V45))</f>
        <v/>
      </c>
      <c r="X45" s="57">
        <f>IF(COUNTBLANK(B45:V45)=21,"",ROUND((W45/($W$14))*100,2))</f>
        <v/>
      </c>
      <c r="Y45" s="56">
        <f>RANK(X45,$X$16:$X$75,0)</f>
        <v/>
      </c>
      <c r="Z45" s="58">
        <f>IF(X45="","",IF(X45&lt;=24,"Not Proficient",IF(X45&lt;=49,"Low Proficient",IF(X45&lt;=74,"Nearly Proficient",IF(Y45&lt;=89,"Proficient",IF(Y45&lt;=100,"Highly Proficient"))))))</f>
        <v/>
      </c>
      <c r="AA45" s="58">
        <f>IF(Z45="","",IF(Z45="Not Proficient","Reteach",IF(Z45="Low Proficient","Remediation",IF(Z45="Nearly Proficient","Intervention",IF(Z45="Proficient","Enhancement",IF(Z45="Highly Proficient","Advancement"))))))</f>
        <v/>
      </c>
      <c r="AB45" s="69" t="n"/>
      <c r="AC45" s="69" t="n"/>
      <c r="AD45" s="69" t="n">
        <v>27</v>
      </c>
    </row>
    <row r="46" s="1">
      <c r="A46" s="52">
        <f>A45+1</f>
        <v/>
      </c>
      <c r="B46" s="48"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6">
        <f>IF(SUM(B46:V46)=0,"",SUM(B46:V46))</f>
        <v/>
      </c>
      <c r="X46" s="57">
        <f>IF(COUNTBLANK(B46:V46)=21,"",ROUND((W46/($W$14))*100,2))</f>
        <v/>
      </c>
      <c r="Y46" s="56">
        <f>RANK(X46,$X$16:$X$75,0)</f>
        <v/>
      </c>
      <c r="Z46" s="58">
        <f>IF(X46="","",IF(X46&lt;=24,"Not Proficient",IF(X46&lt;=49,"Low Proficient",IF(X46&lt;=74,"Nearly Proficient",IF(Y46&lt;=89,"Proficient",IF(Y46&lt;=100,"Highly Proficient"))))))</f>
        <v/>
      </c>
      <c r="AA46" s="58">
        <f>IF(Z46="","",IF(Z46="Not Proficient","Reteach",IF(Z46="Low Proficient","Remediation",IF(Z46="Nearly Proficient","Intervention",IF(Z46="Proficient","Enhancement",IF(Z46="Highly Proficient","Advancement"))))))</f>
        <v/>
      </c>
      <c r="AB46" s="69" t="n"/>
      <c r="AC46" s="69" t="n"/>
      <c r="AD46" s="69" t="n">
        <v>28</v>
      </c>
    </row>
    <row r="47" s="1">
      <c r="A47" s="52">
        <f>A46+1</f>
        <v/>
      </c>
      <c r="B47" s="48"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6">
        <f>IF(SUM(B47:V47)=0,"",SUM(B47:V47))</f>
        <v/>
      </c>
      <c r="X47" s="57">
        <f>IF(COUNTBLANK(B47:V47)=21,"",ROUND((W47/($W$14))*100,2))</f>
        <v/>
      </c>
      <c r="Y47" s="56">
        <f>RANK(X47,$X$16:$X$75,0)</f>
        <v/>
      </c>
      <c r="Z47" s="58">
        <f>IF(X47="","",IF(X47&lt;=24,"Not Proficient",IF(X47&lt;=49,"Low Proficient",IF(X47&lt;=74,"Nearly Proficient",IF(Y47&lt;=89,"Proficient",IF(Y47&lt;=100,"Highly Proficient"))))))</f>
        <v/>
      </c>
      <c r="AA47" s="58">
        <f>IF(Z47="","",IF(Z47="Not Proficient","Reteach",IF(Z47="Low Proficient","Remediation",IF(Z47="Nearly Proficient","Intervention",IF(Z47="Proficient","Enhancement",IF(Z47="Highly Proficient","Advancement"))))))</f>
        <v/>
      </c>
      <c r="AB47" s="69" t="n"/>
      <c r="AC47" s="69" t="n"/>
      <c r="AD47" s="69" t="n">
        <v>29</v>
      </c>
    </row>
    <row r="48" s="1">
      <c r="A48" s="52">
        <f>A47+1</f>
        <v/>
      </c>
      <c r="B48" s="48"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6">
        <f>IF(SUM(B48:V48)=0,"",SUM(B48:V48))</f>
        <v/>
      </c>
      <c r="X48" s="57">
        <f>IF(COUNTBLANK(B48:V48)=21,"",ROUND((W48/($W$14))*100,2))</f>
        <v/>
      </c>
      <c r="Y48" s="56">
        <f>RANK(X48,$X$16:$X$75,0)</f>
        <v/>
      </c>
      <c r="Z48" s="58">
        <f>IF(X48="","",IF(X48&lt;=24,"Not Proficient",IF(X48&lt;=49,"Low Proficient",IF(X48&lt;=74,"Nearly Proficient",IF(Y48&lt;=89,"Proficient",IF(Y48&lt;=100,"Highly Proficient"))))))</f>
        <v/>
      </c>
      <c r="AA48" s="58">
        <f>IF(Z48="","",IF(Z48="Not Proficient","Reteach",IF(Z48="Low Proficient","Remediation",IF(Z48="Nearly Proficient","Intervention",IF(Z48="Proficient","Enhancement",IF(Z48="Highly Proficient","Advancement"))))))</f>
        <v/>
      </c>
      <c r="AB48" s="69" t="n"/>
      <c r="AC48" s="69" t="n"/>
      <c r="AD48" s="69" t="n">
        <v>30</v>
      </c>
    </row>
    <row r="49" s="1">
      <c r="A49" s="52">
        <f>A48+1</f>
        <v/>
      </c>
      <c r="B49" s="48"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6">
        <f>IF(SUM(B49:V49)=0,"",SUM(B49:V49))</f>
        <v/>
      </c>
      <c r="X49" s="57">
        <f>IF(COUNTBLANK(B49:V49)=21,"",ROUND((W49/($W$14))*100,2))</f>
        <v/>
      </c>
      <c r="Y49" s="56">
        <f>RANK(X49,$X$16:$X$75,0)</f>
        <v/>
      </c>
      <c r="Z49" s="58">
        <f>IF(X49="","",IF(X49&lt;=24,"Not Proficient",IF(X49&lt;=49,"Low Proficient",IF(X49&lt;=74,"Nearly Proficient",IF(Y49&lt;=89,"Proficient",IF(Y49&lt;=100,"Highly Proficient"))))))</f>
        <v/>
      </c>
      <c r="AA49" s="58">
        <f>IF(Z49="","",IF(Z49="Not Proficient","Reteach",IF(Z49="Low Proficient","Remediation",IF(Z49="Nearly Proficient","Intervention",IF(Z49="Proficient","Enhancement",IF(Z49="Highly Proficient","Advancement"))))))</f>
        <v/>
      </c>
      <c r="AB49" s="69" t="n"/>
      <c r="AC49" s="69" t="n"/>
      <c r="AD49" s="69" t="n">
        <v>31</v>
      </c>
    </row>
    <row r="50" s="1">
      <c r="A50" s="52">
        <f>A49+1</f>
        <v/>
      </c>
      <c r="B50" s="48"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6">
        <f>IF(SUM(B50:V50)=0,"",SUM(B50:V50))</f>
        <v/>
      </c>
      <c r="X50" s="57">
        <f>IF(COUNTBLANK(B50:V50)=21,"",ROUND((W50/($W$14))*100,2))</f>
        <v/>
      </c>
      <c r="Y50" s="56">
        <f>RANK(X50,$X$16:$X$75,0)</f>
        <v/>
      </c>
      <c r="Z50" s="58">
        <f>IF(X50="","",IF(X50&lt;=24,"Not Proficient",IF(X50&lt;=49,"Low Proficient",IF(X50&lt;=74,"Nearly Proficient",IF(Y50&lt;=89,"Proficient",IF(Y50&lt;=100,"Highly Proficient"))))))</f>
        <v/>
      </c>
      <c r="AA50" s="58">
        <f>IF(Z50="","",IF(Z50="Not Proficient","Reteach",IF(Z50="Low Proficient","Remediation",IF(Z50="Nearly Proficient","Intervention",IF(Z50="Proficient","Enhancement",IF(Z50="Highly Proficient","Advancement"))))))</f>
        <v/>
      </c>
      <c r="AB50" s="69" t="n"/>
      <c r="AC50" s="69" t="n"/>
      <c r="AD50" s="69" t="n">
        <v>31</v>
      </c>
    </row>
    <row r="51" s="1">
      <c r="A51" s="52">
        <f>A50+1</f>
        <v/>
      </c>
      <c r="B51" s="48"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6">
        <f>IF(SUM(B51:V51)=0,"",SUM(B51:V51))</f>
        <v/>
      </c>
      <c r="X51" s="57">
        <f>IF(COUNTBLANK(B51:V51)=21,"",ROUND((W51/($W$14))*100,2))</f>
        <v/>
      </c>
      <c r="Y51" s="56">
        <f>RANK(X51,$X$16:$X$75,0)</f>
        <v/>
      </c>
      <c r="Z51" s="58">
        <f>IF(X51="","",IF(X51&lt;=24,"Not Proficient",IF(X51&lt;=49,"Low Proficient",IF(X51&lt;=74,"Nearly Proficient",IF(Y51&lt;=89,"Proficient",IF(Y51&lt;=100,"Highly Proficient"))))))</f>
        <v/>
      </c>
      <c r="AA51" s="58">
        <f>IF(Z51="","",IF(Z51="Not Proficient","Reteach",IF(Z51="Low Proficient","Remediation",IF(Z51="Nearly Proficient","Intervention",IF(Z51="Proficient","Enhancement",IF(Z51="Highly Proficient","Advancement"))))))</f>
        <v/>
      </c>
      <c r="AB51" s="69" t="n"/>
      <c r="AC51" s="69" t="n"/>
      <c r="AD51" s="69" t="n">
        <v>31</v>
      </c>
    </row>
    <row r="52" s="1">
      <c r="A52" s="52">
        <f>A51+1</f>
        <v/>
      </c>
      <c r="B52" s="48"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6">
        <f>IF(SUM(B52:V52)=0,"",SUM(B52:V52))</f>
        <v/>
      </c>
      <c r="X52" s="57">
        <f>IF(COUNTBLANK(B52:V52)=21,"",ROUND((W52/($W$14))*100,2))</f>
        <v/>
      </c>
      <c r="Y52" s="56">
        <f>RANK(X52,$X$16:$X$75,0)</f>
        <v/>
      </c>
      <c r="Z52" s="58">
        <f>IF(X52="","",IF(X52&lt;=24,"Not Proficient",IF(X52&lt;=49,"Low Proficient",IF(X52&lt;=74,"Nearly Proficient",IF(Y52&lt;=89,"Proficient",IF(Y52&lt;=100,"Highly Proficient"))))))</f>
        <v/>
      </c>
      <c r="AA52" s="58">
        <f>IF(Z52="","",IF(Z52="Not Proficient","Reteach",IF(Z52="Low Proficient","Remediation",IF(Z52="Nearly Proficient","Intervention",IF(Z52="Proficient","Enhancement",IF(Z52="Highly Proficient","Advancement"))))))</f>
        <v/>
      </c>
      <c r="AB52" s="69" t="n"/>
      <c r="AC52" s="69" t="n"/>
      <c r="AD52" s="69" t="n">
        <v>34</v>
      </c>
    </row>
    <row r="53" s="1">
      <c r="A53" s="52">
        <f>A52+1</f>
        <v/>
      </c>
      <c r="B53" s="48"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6">
        <f>IF(SUM(B53:V53)=0,"",SUM(B53:V53))</f>
        <v/>
      </c>
      <c r="X53" s="57">
        <f>IF(COUNTBLANK(B53:V53)=21,"",ROUND((W53/($W$14))*100,2))</f>
        <v/>
      </c>
      <c r="Y53" s="56">
        <f>RANK(X53,$X$16:$X$75,0)</f>
        <v/>
      </c>
      <c r="Z53" s="58">
        <f>IF(X53="","",IF(X53&lt;=24,"Not Proficient",IF(X53&lt;=49,"Low Proficient",IF(X53&lt;=74,"Nearly Proficient",IF(Y53&lt;=89,"Proficient",IF(Y53&lt;=100,"Highly Proficient"))))))</f>
        <v/>
      </c>
      <c r="AA53" s="58">
        <f>IF(Z53="","",IF(Z53="Not Proficient","Reteach",IF(Z53="Low Proficient","Remediation",IF(Z53="Nearly Proficient","Intervention",IF(Z53="Proficient","Enhancement",IF(Z53="Highly Proficient","Advancement"))))))</f>
        <v/>
      </c>
      <c r="AB53" s="69" t="n"/>
      <c r="AC53" s="69" t="n"/>
      <c r="AD53" s="69" t="n">
        <v>35</v>
      </c>
    </row>
    <row r="54" s="1">
      <c r="A54" s="52">
        <f>A53+1</f>
        <v/>
      </c>
      <c r="B54" s="48"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6">
        <f>IF(SUM(B54:V54)=0,"",SUM(B54:V54))</f>
        <v/>
      </c>
      <c r="X54" s="57">
        <f>IF(COUNTBLANK(B54:V54)=21,"",ROUND((W54/($W$14))*100,2))</f>
        <v/>
      </c>
      <c r="Y54" s="56">
        <f>RANK(X54,$X$16:$X$75,0)</f>
        <v/>
      </c>
      <c r="Z54" s="58">
        <f>IF(X54="","",IF(X54&lt;=24,"Not Proficient",IF(X54&lt;=49,"Low Proficient",IF(X54&lt;=74,"Nearly Proficient",IF(Y54&lt;=89,"Proficient",IF(Y54&lt;=100,"Highly Proficient"))))))</f>
        <v/>
      </c>
      <c r="AA54" s="58">
        <f>IF(Z54="","",IF(Z54="Not Proficient","Reteach",IF(Z54="Low Proficient","Remediation",IF(Z54="Nearly Proficient","Intervention",IF(Z54="Proficient","Enhancement",IF(Z54="Highly Proficient","Advancement"))))))</f>
        <v/>
      </c>
      <c r="AB54" s="69" t="n"/>
      <c r="AC54" s="69" t="n"/>
      <c r="AD54" s="69" t="n">
        <v>36</v>
      </c>
    </row>
    <row r="55" s="1">
      <c r="A55" s="52">
        <f>A54+1</f>
        <v/>
      </c>
      <c r="B55" s="48"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6">
        <f>IF(SUM(B55:V55)=0,"",SUM(B55:V55))</f>
        <v/>
      </c>
      <c r="X55" s="57">
        <f>IF(COUNTBLANK(B55:V55)=21,"",ROUND((W55/($W$14))*100,2))</f>
        <v/>
      </c>
      <c r="Y55" s="56">
        <f>RANK(X55,$X$16:$X$75,0)</f>
        <v/>
      </c>
      <c r="Z55" s="58">
        <f>IF(X55="","",IF(X55&lt;=24,"Not Proficient",IF(X55&lt;=49,"Low Proficient",IF(X55&lt;=74,"Nearly Proficient",IF(Y55&lt;=89,"Proficient",IF(Y55&lt;=100,"Highly Proficient"))))))</f>
        <v/>
      </c>
      <c r="AA55" s="58">
        <f>IF(Z55="","",IF(Z55="Not Proficient","Reteach",IF(Z55="Low Proficient","Remediation",IF(Z55="Nearly Proficient","Intervention",IF(Z55="Proficient","Enhancement",IF(Z55="Highly Proficient","Advancement"))))))</f>
        <v/>
      </c>
      <c r="AB55" s="69" t="n"/>
      <c r="AC55" s="69" t="n"/>
      <c r="AD55" s="69" t="n">
        <v>37</v>
      </c>
    </row>
    <row r="56" s="1">
      <c r="A56" s="52">
        <f>A55+1</f>
        <v/>
      </c>
      <c r="B56" s="48"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6">
        <f>IF(SUM(B56:V56)=0,"",SUM(B56:V56))</f>
        <v/>
      </c>
      <c r="X56" s="57">
        <f>IF(COUNTBLANK(B56:V56)=21,"",ROUND((W56/($W$14))*100,2))</f>
        <v/>
      </c>
      <c r="Y56" s="56">
        <f>RANK(X56,$X$16:$X$75,0)</f>
        <v/>
      </c>
      <c r="Z56" s="58">
        <f>IF(X56="","",IF(X56&lt;=24,"Not Proficient",IF(X56&lt;=49,"Low Proficient",IF(X56&lt;=74,"Nearly Proficient",IF(Y56&lt;=89,"Proficient",IF(Y56&lt;=100,"Highly Proficient"))))))</f>
        <v/>
      </c>
      <c r="AA56" s="58">
        <f>IF(Z56="","",IF(Z56="Not Proficient","Reteach",IF(Z56="Low Proficient","Remediation",IF(Z56="Nearly Proficient","Intervention",IF(Z56="Proficient","Enhancement",IF(Z56="Highly Proficient","Advancement"))))))</f>
        <v/>
      </c>
      <c r="AB56" s="69" t="n"/>
      <c r="AC56" s="69" t="n"/>
      <c r="AD56" s="69" t="n">
        <v>38</v>
      </c>
    </row>
    <row r="57" s="1">
      <c r="A57" s="52">
        <f>A56+1</f>
        <v/>
      </c>
      <c r="B57" s="48"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6">
        <f>IF(SUM(B57:V57)=0,"",SUM(B57:V57))</f>
        <v/>
      </c>
      <c r="X57" s="57">
        <f>IF(COUNTBLANK(B57:V57)=21,"",ROUND((W57/($W$14))*100,2))</f>
        <v/>
      </c>
      <c r="Y57" s="56">
        <f>RANK(X57,$X$16:$X$75,0)</f>
        <v/>
      </c>
      <c r="Z57" s="58">
        <f>IF(X57="","",IF(X57&lt;=24,"Not Proficient",IF(X57&lt;=49,"Low Proficient",IF(X57&lt;=74,"Nearly Proficient",IF(Y57&lt;=89,"Proficient",IF(Y57&lt;=100,"Highly Proficient"))))))</f>
        <v/>
      </c>
      <c r="AA57" s="58">
        <f>IF(Z57="","",IF(Z57="Not Proficient","Reteach",IF(Z57="Low Proficient","Remediation",IF(Z57="Nearly Proficient","Intervention",IF(Z57="Proficient","Enhancement",IF(Z57="Highly Proficient","Advancement"))))))</f>
        <v/>
      </c>
      <c r="AB57" s="69" t="n"/>
      <c r="AC57" s="69" t="n"/>
      <c r="AD57" s="69" t="n">
        <v>39</v>
      </c>
    </row>
    <row r="58" s="1">
      <c r="A58" s="52">
        <f>A57+1</f>
        <v/>
      </c>
      <c r="B58" s="48"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6">
        <f>IF(SUM(B58:V58)=0,"",SUM(B58:V58))</f>
        <v/>
      </c>
      <c r="X58" s="57">
        <f>IF(COUNTBLANK(B58:V58)=21,"",ROUND((W58/($W$14))*100,2))</f>
        <v/>
      </c>
      <c r="Y58" s="56">
        <f>RANK(X58,$X$16:$X$75,0)</f>
        <v/>
      </c>
      <c r="Z58" s="58">
        <f>IF(X58="","",IF(X58&lt;=24,"Not Proficient",IF(X58&lt;=49,"Low Proficient",IF(X58&lt;=74,"Nearly Proficient",IF(Y58&lt;=89,"Proficient",IF(Y58&lt;=100,"Highly Proficient"))))))</f>
        <v/>
      </c>
      <c r="AA58" s="58">
        <f>IF(Z58="","",IF(Z58="Not Proficient","Reteach",IF(Z58="Low Proficient","Remediation",IF(Z58="Nearly Proficient","Intervention",IF(Z58="Proficient","Enhancement",IF(Z58="Highly Proficient","Advancement"))))))</f>
        <v/>
      </c>
      <c r="AB58" s="69" t="n"/>
      <c r="AC58" s="69" t="n"/>
      <c r="AD58" s="69" t="n">
        <v>40</v>
      </c>
    </row>
    <row r="59" s="1">
      <c r="A59" s="52">
        <f>A58+1</f>
        <v/>
      </c>
      <c r="B59" s="48"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6">
        <f>IF(SUM(B59:V59)=0,"",SUM(B59:V59))</f>
        <v/>
      </c>
      <c r="X59" s="57">
        <f>IF(COUNTBLANK(B59:V59)=21,"",ROUND((W59/($W$14))*100,2))</f>
        <v/>
      </c>
      <c r="Y59" s="56">
        <f>RANK(X59,$X$16:$X$75,0)</f>
        <v/>
      </c>
      <c r="Z59" s="58">
        <f>IF(X59="","",IF(X59&lt;=24,"Not Proficient",IF(X59&lt;=49,"Low Proficient",IF(X59&lt;=74,"Nearly Proficient",IF(Y59&lt;=89,"Proficient",IF(Y59&lt;=100,"Highly Proficient"))))))</f>
        <v/>
      </c>
      <c r="AA59" s="58">
        <f>IF(Z59="","",IF(Z59="Not Proficient","Reteach",IF(Z59="Low Proficient","Remediation",IF(Z59="Nearly Proficient","Intervention",IF(Z59="Proficient","Enhancement",IF(Z59="Highly Proficient","Advancement"))))))</f>
        <v/>
      </c>
      <c r="AB59" s="69" t="n"/>
      <c r="AC59" s="69" t="n"/>
      <c r="AD59" s="69" t="n">
        <v>40</v>
      </c>
    </row>
    <row r="60" s="1">
      <c r="A60" s="52">
        <f>A59+1</f>
        <v/>
      </c>
      <c r="B60" s="48"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6">
        <f>IF(SUM(B60:V60)=0,"",SUM(B60:V60))</f>
        <v/>
      </c>
      <c r="X60" s="57">
        <f>IF(COUNTBLANK(B60:V60)=21,"",ROUND((W60/($W$14))*100,2))</f>
        <v/>
      </c>
      <c r="Y60" s="56">
        <f>RANK(X60,$X$16:$X$75,0)</f>
        <v/>
      </c>
      <c r="Z60" s="58">
        <f>IF(X60="","",IF(X60&lt;=24,"Not Proficient",IF(X60&lt;=49,"Low Proficient",IF(X60&lt;=74,"Nearly Proficient",IF(Y60&lt;=89,"Proficient",IF(Y60&lt;=100,"Highly Proficient"))))))</f>
        <v/>
      </c>
      <c r="AA60" s="58">
        <f>IF(Z60="","",IF(Z60="Not Proficient","Reteach",IF(Z60="Low Proficient","Remediation",IF(Z60="Nearly Proficient","Intervention",IF(Z60="Proficient","Enhancement",IF(Z60="Highly Proficient","Advancement"))))))</f>
        <v/>
      </c>
      <c r="AB60" s="69" t="n"/>
      <c r="AC60" s="69" t="n"/>
      <c r="AD60" s="69" t="n">
        <v>42</v>
      </c>
    </row>
    <row r="61" s="1">
      <c r="A61" s="52">
        <f>A60+1</f>
        <v/>
      </c>
      <c r="B61" s="48"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6">
        <f>IF(SUM(B61:V61)=0,"",SUM(B61:V61))</f>
        <v/>
      </c>
      <c r="X61" s="57">
        <f>IF(COUNTBLANK(B61:V61)=21,"",ROUND((W61/($W$14))*100,2))</f>
        <v/>
      </c>
      <c r="Y61" s="56">
        <f>RANK(X61,$X$16:$X$75,0)</f>
        <v/>
      </c>
      <c r="Z61" s="58">
        <f>IF(X61="","",IF(X61&lt;=24,"Not Proficient",IF(X61&lt;=49,"Low Proficient",IF(X61&lt;=74,"Nearly Proficient",IF(Y61&lt;=89,"Proficient",IF(Y61&lt;=100,"Highly Proficient"))))))</f>
        <v/>
      </c>
      <c r="AA61" s="58">
        <f>IF(Z61="","",IF(Z61="Not Proficient","Reteach",IF(Z61="Low Proficient","Remediation",IF(Z61="Nearly Proficient","Intervention",IF(Z61="Proficient","Enhancement",IF(Z61="Highly Proficient","Advancement"))))))</f>
        <v/>
      </c>
      <c r="AB61" s="69" t="n"/>
      <c r="AC61" s="69" t="n"/>
      <c r="AD61" s="69" t="n">
        <v>43</v>
      </c>
    </row>
    <row r="62" s="1">
      <c r="A62" s="52">
        <f>A61+1</f>
        <v/>
      </c>
      <c r="B62" s="48"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6">
        <f>IF(SUM(B62:V62)=0,"",SUM(B62:V62))</f>
        <v/>
      </c>
      <c r="X62" s="57">
        <f>IF(COUNTBLANK(B62:V62)=21,"",ROUND((W62/($W$14))*100,2))</f>
        <v/>
      </c>
      <c r="Y62" s="56">
        <f>RANK(X62,$X$16:$X$75,0)</f>
        <v/>
      </c>
      <c r="Z62" s="58">
        <f>IF(X62="","",IF(X62&lt;=24,"Not Proficient",IF(X62&lt;=49,"Low Proficient",IF(X62&lt;=74,"Nearly Proficient",IF(Y62&lt;=89,"Proficient",IF(Y62&lt;=100,"Highly Proficient"))))))</f>
        <v/>
      </c>
      <c r="AA62" s="58">
        <f>IF(Z62="","",IF(Z62="Not Proficient","Reteach",IF(Z62="Low Proficient","Remediation",IF(Z62="Nearly Proficient","Intervention",IF(Z62="Proficient","Enhancement",IF(Z62="Highly Proficient","Advancement"))))))</f>
        <v/>
      </c>
      <c r="AB62" s="69" t="n"/>
      <c r="AC62" s="69" t="n"/>
      <c r="AD62" s="69" t="n">
        <v>44</v>
      </c>
    </row>
    <row r="63" s="1">
      <c r="A63" s="52">
        <f>A62+1</f>
        <v/>
      </c>
      <c r="B63" s="48"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6">
        <f>IF(SUM(B63:V63)=0,"",SUM(B63:V63))</f>
        <v/>
      </c>
      <c r="X63" s="57">
        <f>IF(COUNTBLANK(B63:V63)=21,"",ROUND((W63/($W$14))*100,2))</f>
        <v/>
      </c>
      <c r="Y63" s="56">
        <f>RANK(X63,$X$16:$X$75,0)</f>
        <v/>
      </c>
      <c r="Z63" s="58">
        <f>IF(X63="","",IF(X63&lt;=24,"Not Proficient",IF(X63&lt;=49,"Low Proficient",IF(X63&lt;=74,"Nearly Proficient",IF(Y63&lt;=89,"Proficient",IF(Y63&lt;=100,"Highly Proficient"))))))</f>
        <v/>
      </c>
      <c r="AA63" s="58">
        <f>IF(Z63="","",IF(Z63="Not Proficient","Reteach",IF(Z63="Low Proficient","Remediation",IF(Z63="Nearly Proficient","Intervention",IF(Z63="Proficient","Enhancement",IF(Z63="Highly Proficient","Advancement"))))))</f>
        <v/>
      </c>
      <c r="AB63" s="69" t="n"/>
      <c r="AC63" s="69" t="n"/>
      <c r="AD63" s="69" t="n">
        <v>45</v>
      </c>
    </row>
    <row r="64" s="1">
      <c r="A64" s="52">
        <f>A63+1</f>
        <v/>
      </c>
      <c r="B64" s="48"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6">
        <f>IF(SUM(B64:V64)=0,"",SUM(B64:V64))</f>
        <v/>
      </c>
      <c r="X64" s="57">
        <f>IF(COUNTBLANK(B64:V64)=21,"",ROUND((W64/($W$14))*100,2))</f>
        <v/>
      </c>
      <c r="Y64" s="56">
        <f>RANK(X64,$X$16:$X$75,0)</f>
        <v/>
      </c>
      <c r="Z64" s="58">
        <f>IF(X64="","",IF(X64&lt;=24,"Not Proficient",IF(X64&lt;=49,"Low Proficient",IF(X64&lt;=74,"Nearly Proficient",IF(Y64&lt;=89,"Proficient",IF(Y64&lt;=100,"Highly Proficient"))))))</f>
        <v/>
      </c>
      <c r="AA64" s="58">
        <f>IF(Z64="","",IF(Z64="Not Proficient","Reteach",IF(Z64="Low Proficient","Remediation",IF(Z64="Nearly Proficient","Intervention",IF(Z64="Proficient","Enhancement",IF(Z64="Highly Proficient","Advancement"))))))</f>
        <v/>
      </c>
      <c r="AB64" s="69" t="n"/>
      <c r="AC64" s="69" t="n"/>
      <c r="AD64" s="69" t="n">
        <v>46</v>
      </c>
    </row>
    <row r="65" s="1">
      <c r="A65" s="52">
        <f>A64+1</f>
        <v/>
      </c>
      <c r="B65" s="48"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6">
        <f>IF(SUM(B65:V65)=0,"",SUM(B65:V65))</f>
        <v/>
      </c>
      <c r="X65" s="57">
        <f>IF(COUNTBLANK(B65:V65)=21,"",ROUND((W65/($W$14))*100,2))</f>
        <v/>
      </c>
      <c r="Y65" s="56">
        <f>RANK(X65,$X$16:$X$75,0)</f>
        <v/>
      </c>
      <c r="Z65" s="58">
        <f>IF(X65="","",IF(X65&lt;=24,"Not Proficient",IF(X65&lt;=49,"Low Proficient",IF(X65&lt;=74,"Nearly Proficient",IF(Y65&lt;=89,"Proficient",IF(Y65&lt;=100,"Highly Proficient"))))))</f>
        <v/>
      </c>
      <c r="AA65" s="58">
        <f>IF(Z65="","",IF(Z65="Not Proficient","Reteach",IF(Z65="Low Proficient","Remediation",IF(Z65="Nearly Proficient","Intervention",IF(Z65="Proficient","Enhancement",IF(Z65="Highly Proficient","Advancement"))))))</f>
        <v/>
      </c>
      <c r="AB65" s="69" t="n"/>
      <c r="AC65" s="69" t="n"/>
      <c r="AD65" s="69" t="n">
        <v>47</v>
      </c>
    </row>
    <row r="66" s="1">
      <c r="A66" s="52">
        <f>A65+1</f>
        <v/>
      </c>
      <c r="B66" s="48"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6">
        <f>IF(SUM(B66:V66)=0,"",SUM(B66:V66))</f>
        <v/>
      </c>
      <c r="X66" s="57">
        <f>IF(COUNTBLANK(B66:V66)=21,"",ROUND((W66/($W$14))*100,2))</f>
        <v/>
      </c>
      <c r="Y66" s="56">
        <f>RANK(X66,$X$16:$X$75,0)</f>
        <v/>
      </c>
      <c r="Z66" s="58">
        <f>IF(X66="","",IF(X66&lt;=24,"Not Proficient",IF(X66&lt;=49,"Low Proficient",IF(X66&lt;=74,"Nearly Proficient",IF(Y66&lt;=89,"Proficient",IF(Y66&lt;=100,"Highly Proficient"))))))</f>
        <v/>
      </c>
      <c r="AA66" s="58">
        <f>IF(Z66="","",IF(Z66="Not Proficient","Reteach",IF(Z66="Low Proficient","Remediation",IF(Z66="Nearly Proficient","Intervention",IF(Z66="Proficient","Enhancement",IF(Z66="Highly Proficient","Advancement"))))))</f>
        <v/>
      </c>
      <c r="AB66" s="69" t="n"/>
      <c r="AC66" s="69" t="n"/>
      <c r="AD66" s="69" t="n">
        <v>48</v>
      </c>
    </row>
    <row r="67" s="1">
      <c r="A67" s="52">
        <f>A66+1</f>
        <v/>
      </c>
      <c r="B67" s="48"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6">
        <f>IF(SUM(B67:V67)=0,"",SUM(B67:V67))</f>
        <v/>
      </c>
      <c r="X67" s="57">
        <f>IF(COUNTBLANK(B67:V67)=21,"",ROUND((W67/($W$14))*100,2))</f>
        <v/>
      </c>
      <c r="Y67" s="56">
        <f>RANK(X67,$X$16:$X$75,0)</f>
        <v/>
      </c>
      <c r="Z67" s="58">
        <f>IF(X67="","",IF(X67&lt;=24,"Not Proficient",IF(X67&lt;=49,"Low Proficient",IF(X67&lt;=74,"Nearly Proficient",IF(Y67&lt;=89,"Proficient",IF(Y67&lt;=100,"Highly Proficient"))))))</f>
        <v/>
      </c>
      <c r="AA67" s="58">
        <f>IF(Z67="","",IF(Z67="Not Proficient","Reteach",IF(Z67="Low Proficient","Remediation",IF(Z67="Nearly Proficient","Intervention",IF(Z67="Proficient","Enhancement",IF(Z67="Highly Proficient","Advancement"))))))</f>
        <v/>
      </c>
      <c r="AB67" s="69" t="n"/>
      <c r="AC67" s="69" t="n"/>
      <c r="AD67" s="69" t="n">
        <v>49</v>
      </c>
    </row>
    <row r="68" s="1">
      <c r="A68" s="52">
        <f>A67+1</f>
        <v/>
      </c>
      <c r="B68" s="48"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6">
        <f>IF(SUM(B68:V68)=0,"",SUM(B68:V68))</f>
        <v/>
      </c>
      <c r="X68" s="57">
        <f>IF(COUNTBLANK(B68:V68)=21,"",ROUND((W68/($W$14))*100,2))</f>
        <v/>
      </c>
      <c r="Y68" s="56">
        <f>RANK(X68,$X$16:$X$75,0)</f>
        <v/>
      </c>
      <c r="Z68" s="58">
        <f>IF(X68="","",IF(X68&lt;=24,"Not Proficient",IF(X68&lt;=49,"Low Proficient",IF(X68&lt;=74,"Nearly Proficient",IF(Y68&lt;=89,"Proficient",IF(Y68&lt;=100,"Highly Proficient"))))))</f>
        <v/>
      </c>
      <c r="AA68" s="58">
        <f>IF(Z68="","",IF(Z68="Not Proficient","Reteach",IF(Z68="Low Proficient","Remediation",IF(Z68="Nearly Proficient","Intervention",IF(Z68="Proficient","Enhancement",IF(Z68="Highly Proficient","Advancement"))))))</f>
        <v/>
      </c>
      <c r="AB68" s="69" t="n"/>
      <c r="AC68" s="69" t="n"/>
      <c r="AD68" s="69" t="n">
        <v>50</v>
      </c>
    </row>
    <row r="69" s="1">
      <c r="A69" s="52">
        <f>A68+1</f>
        <v/>
      </c>
      <c r="B69" s="48"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6">
        <f>IF(SUM(B69:V69)=0,"",SUM(B69:V69))</f>
        <v/>
      </c>
      <c r="X69" s="57">
        <f>IF(COUNTBLANK(B69:V69)=21,"",ROUND((W69/($W$14))*100,2))</f>
        <v/>
      </c>
      <c r="Y69" s="56">
        <f>RANK(X69,$X$16:$X$75,0)</f>
        <v/>
      </c>
      <c r="Z69" s="58">
        <f>IF(X69="","",IF(X69&lt;=24,"Not Proficient",IF(X69&lt;=49,"Low Proficient",IF(X69&lt;=74,"Nearly Proficient",IF(Y69&lt;=89,"Proficient",IF(Y69&lt;=100,"Highly Proficient"))))))</f>
        <v/>
      </c>
      <c r="AA69" s="58">
        <f>IF(Z69="","",IF(Z69="Not Proficient","Reteach",IF(Z69="Low Proficient","Remediation",IF(Z69="Nearly Proficient","Intervention",IF(Z69="Proficient","Enhancement",IF(Z69="Highly Proficient","Advancement"))))))</f>
        <v/>
      </c>
      <c r="AB69" s="69" t="n"/>
      <c r="AC69" s="69" t="n"/>
      <c r="AD69" s="69" t="n">
        <v>51</v>
      </c>
    </row>
    <row r="70" s="1">
      <c r="A70" s="52">
        <f>A69+1</f>
        <v/>
      </c>
      <c r="B70" s="48"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6">
        <f>IF(SUM(B70:V70)=0,"",SUM(B70:V70))</f>
        <v/>
      </c>
      <c r="X70" s="57">
        <f>IF(COUNTBLANK(B70:V70)=21,"",ROUND((W70/($W$14))*100,2))</f>
        <v/>
      </c>
      <c r="Y70" s="56">
        <f>RANK(X70,$X$16:$X$75,0)</f>
        <v/>
      </c>
      <c r="Z70" s="58">
        <f>IF(X70="","",IF(X70&lt;=24,"Not Proficient",IF(X70&lt;=49,"Low Proficient",IF(X70&lt;=74,"Nearly Proficient",IF(Y70&lt;=89,"Proficient",IF(Y70&lt;=100,"Highly Proficient"))))))</f>
        <v/>
      </c>
      <c r="AA70" s="58">
        <f>IF(Z70="","",IF(Z70="Not Proficient","Reteach",IF(Z70="Low Proficient","Remediation",IF(Z70="Nearly Proficient","Intervention",IF(Z70="Proficient","Enhancement",IF(Z70="Highly Proficient","Advancement"))))))</f>
        <v/>
      </c>
      <c r="AB70" s="69" t="n"/>
      <c r="AC70" s="69" t="n"/>
      <c r="AD70" s="69" t="n">
        <v>52</v>
      </c>
    </row>
    <row r="71" s="1">
      <c r="A71" s="52">
        <f>A70+1</f>
        <v/>
      </c>
      <c r="B71" s="48"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6">
        <f>IF(SUM(B71:V71)=0,"",SUM(B71:V71))</f>
        <v/>
      </c>
      <c r="X71" s="57">
        <f>IF(COUNTBLANK(B71:V71)=21,"",ROUND((W71/($W$14))*100,2))</f>
        <v/>
      </c>
      <c r="Y71" s="56">
        <f>RANK(X71,$X$16:$X$75,0)</f>
        <v/>
      </c>
      <c r="Z71" s="58">
        <f>IF(X71="","",IF(X71&lt;=24,"Not Proficient",IF(X71&lt;=49,"Low Proficient",IF(X71&lt;=74,"Nearly Proficient",IF(Y71&lt;=89,"Proficient",IF(Y71&lt;=100,"Highly Proficient"))))))</f>
        <v/>
      </c>
      <c r="AA71" s="58">
        <f>IF(Z71="","",IF(Z71="Not Proficient","Reteach",IF(Z71="Low Proficient","Remediation",IF(Z71="Nearly Proficient","Intervention",IF(Z71="Proficient","Enhancement",IF(Z71="Highly Proficient","Advancement"))))))</f>
        <v/>
      </c>
      <c r="AB71" s="69" t="n"/>
      <c r="AC71" s="69" t="n"/>
      <c r="AD71" s="69" t="n">
        <v>53</v>
      </c>
    </row>
    <row r="72" s="1">
      <c r="A72" s="52">
        <f>A71+1</f>
        <v/>
      </c>
      <c r="B72" s="48"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6">
        <f>IF(SUM(B72:V72)=0,"",SUM(B72:V72))</f>
        <v/>
      </c>
      <c r="X72" s="57">
        <f>IF(COUNTBLANK(B72:V72)=21,"",ROUND((W72/($W$14))*100,2))</f>
        <v/>
      </c>
      <c r="Y72" s="56">
        <f>RANK(X72,$X$16:$X$75,0)</f>
        <v/>
      </c>
      <c r="Z72" s="58">
        <f>IF(X72="","",IF(X72&lt;=24,"Not Proficient",IF(X72&lt;=49,"Low Proficient",IF(X72&lt;=74,"Nearly Proficient",IF(Y72&lt;=89,"Proficient",IF(Y72&lt;=100,"Highly Proficient"))))))</f>
        <v/>
      </c>
      <c r="AA72" s="58">
        <f>IF(Z72="","",IF(Z72="Not Proficient","Reteach",IF(Z72="Low Proficient","Remediation",IF(Z72="Nearly Proficient","Intervention",IF(Z72="Proficient","Enhancement",IF(Z72="Highly Proficient","Advancement"))))))</f>
        <v/>
      </c>
      <c r="AB72" s="69" t="n"/>
      <c r="AC72" s="69" t="n"/>
      <c r="AD72" s="69" t="n">
        <v>54</v>
      </c>
    </row>
    <row r="73" s="1">
      <c r="A73" s="52">
        <f>A72+1</f>
        <v/>
      </c>
      <c r="B73" s="48"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6">
        <f>IF(SUM(B73:V73)=0,"",SUM(B73:V73))</f>
        <v/>
      </c>
      <c r="X73" s="57">
        <f>IF(COUNTBLANK(B73:V73)=21,"",ROUND((W73/($W$14))*100,2))</f>
        <v/>
      </c>
      <c r="Y73" s="56">
        <f>RANK(X73,$X$16:$X$75,0)</f>
        <v/>
      </c>
      <c r="Z73" s="58">
        <f>IF(X73="","",IF(X73&lt;=24,"Not Proficient",IF(X73&lt;=49,"Low Proficient",IF(X73&lt;=74,"Nearly Proficient",IF(Y73&lt;=89,"Proficient",IF(Y73&lt;=100,"Highly Proficient"))))))</f>
        <v/>
      </c>
      <c r="AA73" s="58">
        <f>IF(Z73="","",IF(Z73="Not Proficient","Reteach",IF(Z73="Low Proficient","Remediation",IF(Z73="Nearly Proficient","Intervention",IF(Z73="Proficient","Enhancement",IF(Z73="Highly Proficient","Advancement"))))))</f>
        <v/>
      </c>
      <c r="AB73" s="69" t="n"/>
      <c r="AC73" s="69" t="n"/>
      <c r="AD73" s="69" t="n">
        <v>55</v>
      </c>
    </row>
    <row r="74" s="1">
      <c r="A74" s="52">
        <f>A73+1</f>
        <v/>
      </c>
      <c r="B74" s="48"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6">
        <f>IF(SUM(B74:V74)=0,"",SUM(B74:V74))</f>
        <v/>
      </c>
      <c r="X74" s="57">
        <f>IF(COUNTBLANK(B74:V74)=21,"",ROUND((W74/($W$14))*100,2))</f>
        <v/>
      </c>
      <c r="Y74" s="56">
        <f>RANK(X74,$X$16:$X$75,0)</f>
        <v/>
      </c>
      <c r="Z74" s="58">
        <f>IF(X74="","",IF(X74&lt;=24,"Not Proficient",IF(X74&lt;=49,"Low Proficient",IF(X74&lt;=74,"Nearly Proficient",IF(Y74&lt;=89,"Proficient",IF(Y74&lt;=100,"Highly Proficient"))))))</f>
        <v/>
      </c>
      <c r="AA74" s="58">
        <f>IF(Z74="","",IF(Z74="Not Proficient","Reteach",IF(Z74="Low Proficient","Remediation",IF(Z74="Nearly Proficient","Intervention",IF(Z74="Proficient","Enhancement",IF(Z74="Highly Proficient","Advancement"))))))</f>
        <v/>
      </c>
      <c r="AB74" s="69" t="n"/>
      <c r="AC74" s="69" t="n"/>
      <c r="AD74" s="69" t="n">
        <v>56</v>
      </c>
    </row>
    <row r="75" s="1">
      <c r="A75" s="52">
        <f>A74+1</f>
        <v/>
      </c>
      <c r="B75" s="48" t="n"/>
      <c r="C75" s="59" t="n"/>
      <c r="D75" s="59" t="n"/>
      <c r="E75" s="59" t="n"/>
      <c r="F75" s="59" t="n"/>
      <c r="G75" s="59" t="n"/>
      <c r="H75" s="59" t="n"/>
      <c r="I75" s="59" t="n"/>
      <c r="J75" s="59" t="n"/>
      <c r="K75" s="59" t="n"/>
      <c r="L75" s="59" t="n"/>
      <c r="M75" s="59" t="n"/>
      <c r="N75" s="59" t="n"/>
      <c r="O75" s="59" t="n"/>
      <c r="P75" s="59" t="n"/>
      <c r="Q75" s="59" t="n"/>
      <c r="R75" s="59" t="n"/>
      <c r="S75" s="59" t="n"/>
      <c r="T75" s="59" t="n"/>
      <c r="U75" s="59" t="n"/>
      <c r="V75" s="59" t="n"/>
      <c r="W75" s="56">
        <f>IF(SUM(B75:V75)=0,"",SUM(B75:V75))</f>
        <v/>
      </c>
      <c r="X75" s="60">
        <f>IF(COUNTBLANK(B75:V75)=21,"",ROUND((W75/($W$14))*100,2))</f>
        <v/>
      </c>
      <c r="Y75" s="61">
        <f>RANK(X75,$X$16:$X$75,0)</f>
        <v/>
      </c>
      <c r="Z75" s="58">
        <f>IF(X75="","",IF(X75&lt;=24,"Not Proficient",IF(X75&lt;=49,"Low Proficient",IF(X75&lt;=74,"Nearly Proficient",IF(Y75&lt;=89,"Proficient",IF(Y75&lt;=100,"Highly Proficient"))))))</f>
        <v/>
      </c>
      <c r="AA75" s="62">
        <f>IF(Z75="","",IF(Z75="Not Proficient","Reteach",IF(Z75="Low Proficient","Remediation",IF(Z75="Nearly Proficient","Intervention",IF(Z75="Proficient","Enhancement",IF(Z75="Highly Proficient","Advancement"))))))</f>
        <v/>
      </c>
      <c r="AB75" s="69" t="n"/>
      <c r="AC75" s="69" t="n"/>
      <c r="AD75" s="69" t="n"/>
    </row>
    <row r="76" s="1">
      <c r="A76" s="63" t="inlineStr">
        <is>
          <t>SUM OF ITEM ANALYSIS</t>
        </is>
      </c>
      <c r="B76" s="64">
        <f>IF(B$14="","",SUM(B$16:B$75))</f>
        <v/>
      </c>
      <c r="C76" s="64">
        <f>IF(C$14="","",SUM(C$16:C$75))</f>
        <v/>
      </c>
      <c r="D76" s="64">
        <f>IF(D$14="","",SUM(D$16:D$75))</f>
        <v/>
      </c>
      <c r="E76" s="64">
        <f>IF(E$14="","",SUM(E$16:E$75))</f>
        <v/>
      </c>
      <c r="F76" s="64">
        <f>IF(F$14="","",SUM(F$16:F$75))</f>
        <v/>
      </c>
      <c r="G76" s="64">
        <f>IF(G$14="","",SUM(G$16:G$75))</f>
        <v/>
      </c>
      <c r="H76" s="64">
        <f>IF(H$14="","",SUM(H$16:H$75))</f>
        <v/>
      </c>
      <c r="I76" s="64">
        <f>IF(I$14="","",SUM(I$16:I$75))</f>
        <v/>
      </c>
      <c r="J76" s="64">
        <f>IF(J$14="","",SUM(J$16:J$75))</f>
        <v/>
      </c>
      <c r="K76" s="64">
        <f>IF(K$14="","",SUM(K$16:K$75))</f>
        <v/>
      </c>
      <c r="L76" s="64">
        <f>IF(L$14="","",SUM(L$16:L$75))</f>
        <v/>
      </c>
      <c r="M76" s="64">
        <f>IF(M$14="","",SUM(M$16:M$75))</f>
        <v/>
      </c>
      <c r="N76" s="64">
        <f>IF(N$14="","",SUM(N$16:N$75))</f>
        <v/>
      </c>
      <c r="O76" s="64">
        <f>IF(O$14="","",SUM(O$16:O$75))</f>
        <v/>
      </c>
      <c r="P76" s="64">
        <f>IF(P$14="","",SUM(P$16:P$75))</f>
        <v/>
      </c>
      <c r="Q76" s="64">
        <f>IF(Q$14="","",SUM(Q$16:Q$75))</f>
        <v/>
      </c>
      <c r="R76" s="64">
        <f>IF(R$14="","",SUM(R$16:R$75))</f>
        <v/>
      </c>
      <c r="S76" s="64">
        <f>IF(S$14="","",SUM(S$16:S$75))</f>
        <v/>
      </c>
      <c r="T76" s="64">
        <f>IF(T$14="","",SUM(T$16:T$75))</f>
        <v/>
      </c>
      <c r="U76" s="64">
        <f>IF(U$14="","",SUM(U$16:U$75))</f>
        <v/>
      </c>
      <c r="V76" s="64">
        <f>IF(V$14="","",SUM(V$16:V$75))</f>
        <v/>
      </c>
      <c r="W76" s="65">
        <f>SUM(B76:V76)</f>
        <v/>
      </c>
      <c r="X76" s="421">
        <f>IF(W79&lt;=24,"Not Proficient",IF(W79&lt;=49,"Low Proficient",IF(W79&lt;=74,"Nearly Proficient",IF(W79&lt;=89,"Proficient",IF(W79&lt;=100,"Highly Proficient")))))</f>
        <v/>
      </c>
      <c r="Y76" s="422" t="n"/>
      <c r="Z76" s="422" t="n"/>
      <c r="AA76" s="423" t="n"/>
      <c r="AB76" s="69" t="n"/>
      <c r="AC76" s="69" t="n"/>
      <c r="AD76" s="69" t="n"/>
    </row>
    <row r="77" s="1">
      <c r="A77" s="70" t="inlineStr">
        <is>
          <t>MEAN</t>
        </is>
      </c>
      <c r="B77" s="71">
        <f>IFERROR(B$76/B$14,"")</f>
        <v/>
      </c>
      <c r="C77" s="71">
        <f>IFERROR(C$76/C$14,"")</f>
        <v/>
      </c>
      <c r="D77" s="71">
        <f>IFERROR(D$76/D$14,"")</f>
        <v/>
      </c>
      <c r="E77" s="71">
        <f>IFERROR(E$76/E$14,"")</f>
        <v/>
      </c>
      <c r="F77" s="71">
        <f>IFERROR(F$76/F$14,"")</f>
        <v/>
      </c>
      <c r="G77" s="71">
        <f>IFERROR(G$76/G$14,"")</f>
        <v/>
      </c>
      <c r="H77" s="71">
        <f>IFERROR(H$76/H$14,"")</f>
        <v/>
      </c>
      <c r="I77" s="71">
        <f>IFERROR(I$76/I$14,"")</f>
        <v/>
      </c>
      <c r="J77" s="71">
        <f>IFERROR(J$76/J$14,"")</f>
        <v/>
      </c>
      <c r="K77" s="71">
        <f>IFERROR(K$76/K$14,"")</f>
        <v/>
      </c>
      <c r="L77" s="71">
        <f>IFERROR(L$76/L$14,"")</f>
        <v/>
      </c>
      <c r="M77" s="71">
        <f>IFERROR(M$76/M$14,"")</f>
        <v/>
      </c>
      <c r="N77" s="71">
        <f>IFERROR(N$76/N$14,"")</f>
        <v/>
      </c>
      <c r="O77" s="71">
        <f>IFERROR(O$76/O$14,"")</f>
        <v/>
      </c>
      <c r="P77" s="71">
        <f>IFERROR(P$76/P$14,"")</f>
        <v/>
      </c>
      <c r="Q77" s="71">
        <f>IFERROR(Q$76/Q$14,"")</f>
        <v/>
      </c>
      <c r="R77" s="71">
        <f>IFERROR(R$76/R$14,"")</f>
        <v/>
      </c>
      <c r="S77" s="71">
        <f>IFERROR(S$76/S$14,"")</f>
        <v/>
      </c>
      <c r="T77" s="71">
        <f>IFERROR(T$76/T$14,"")</f>
        <v/>
      </c>
      <c r="U77" s="71">
        <f>IFERROR(U$76/U$14,"")</f>
        <v/>
      </c>
      <c r="V77" s="71">
        <f>IFERROR(V$76/V$14,"")</f>
        <v/>
      </c>
      <c r="W77" s="72">
        <f>IFERROR(W76/W14,"")</f>
        <v/>
      </c>
      <c r="X77" s="424" t="n"/>
      <c r="AA77" s="425" t="n"/>
      <c r="AB77" s="69" t="n"/>
      <c r="AC77" s="69" t="n"/>
      <c r="AD77" s="69" t="n"/>
    </row>
    <row r="78" s="1">
      <c r="A78" s="70" t="inlineStr">
        <is>
          <t>SD</t>
        </is>
      </c>
      <c r="B78" s="71">
        <f>IFERROR(STDEV(B$16:B$75),"")</f>
        <v/>
      </c>
      <c r="C78" s="71">
        <f>IFERROR(STDEV(C$16:C$75),"")</f>
        <v/>
      </c>
      <c r="D78" s="71">
        <f>IFERROR(STDEV(D$16:D$75),"")</f>
        <v/>
      </c>
      <c r="E78" s="71">
        <f>IFERROR(STDEV(E$16:E$75),"")</f>
        <v/>
      </c>
      <c r="F78" s="71">
        <f>IFERROR(STDEV(F$16:F$75),"")</f>
        <v/>
      </c>
      <c r="G78" s="71">
        <f>IFERROR(STDEV(G$16:G$75),"")</f>
        <v/>
      </c>
      <c r="H78" s="71">
        <f>IFERROR(STDEV(H$16:H$75),"")</f>
        <v/>
      </c>
      <c r="I78" s="71">
        <f>IFERROR(STDEV(I$16:I$75),"")</f>
        <v/>
      </c>
      <c r="J78" s="71">
        <f>IFERROR(STDEV(J$16:J$75),"")</f>
        <v/>
      </c>
      <c r="K78" s="71">
        <f>IFERROR(STDEV(K$16:K$75),"")</f>
        <v/>
      </c>
      <c r="L78" s="71">
        <f>IFERROR(STDEV(L$16:L$75),"")</f>
        <v/>
      </c>
      <c r="M78" s="71">
        <f>IFERROR(STDEV(M$16:M$75),"")</f>
        <v/>
      </c>
      <c r="N78" s="71">
        <f>IFERROR(STDEV(N$16:N$75),"")</f>
        <v/>
      </c>
      <c r="O78" s="71">
        <f>IFERROR(STDEV(O$16:O$75),"")</f>
        <v/>
      </c>
      <c r="P78" s="71">
        <f>IFERROR(STDEV(P$16:P$75),"")</f>
        <v/>
      </c>
      <c r="Q78" s="71">
        <f>IFERROR(STDEV(Q$16:Q$75),"")</f>
        <v/>
      </c>
      <c r="R78" s="71">
        <f>IFERROR(STDEV(R$16:R$75),"")</f>
        <v/>
      </c>
      <c r="S78" s="71">
        <f>IFERROR(STDEV(S$16:S$75),"")</f>
        <v/>
      </c>
      <c r="T78" s="71">
        <f>IFERROR(STDEV(T$16:T$75),"")</f>
        <v/>
      </c>
      <c r="U78" s="71">
        <f>IFERROR(STDEV(U$16:U$75),"")</f>
        <v/>
      </c>
      <c r="V78" s="71">
        <f>IFERROR(STDEV(V$16:V$75),"")</f>
        <v/>
      </c>
      <c r="W78" s="72">
        <f>IFERROR(STDEV(B16:V75),"")</f>
        <v/>
      </c>
      <c r="X78" s="424" t="n"/>
      <c r="AA78" s="425" t="n"/>
      <c r="AB78" s="69" t="n"/>
      <c r="AC78" s="69" t="n"/>
      <c r="AD78" s="69" t="n"/>
    </row>
    <row r="79" ht="21" customHeight="1" s="1">
      <c r="A79" s="70" t="inlineStr">
        <is>
          <t>MPS</t>
        </is>
      </c>
      <c r="B79" s="71">
        <f>IFERROR((B77/$B$7)*100,"")</f>
        <v/>
      </c>
      <c r="C79" s="71">
        <f>IFERROR((C77/$B$7)*100,"")</f>
        <v/>
      </c>
      <c r="D79" s="71">
        <f>IFERROR((D77/$B$7)*100,"")</f>
        <v/>
      </c>
      <c r="E79" s="71">
        <f>IFERROR((E77/$B$7)*100,"")</f>
        <v/>
      </c>
      <c r="F79" s="71">
        <f>IFERROR((F77/$B$7)*100,"")</f>
        <v/>
      </c>
      <c r="G79" s="71">
        <f>IFERROR((G77/$B$7)*100,"")</f>
        <v/>
      </c>
      <c r="H79" s="71">
        <f>IFERROR((H77/$B$7)*100,"")</f>
        <v/>
      </c>
      <c r="I79" s="71">
        <f>IFERROR((I77/$B$7)*100,"")</f>
        <v/>
      </c>
      <c r="J79" s="71">
        <f>IFERROR((J77/$B$7)*100,"")</f>
        <v/>
      </c>
      <c r="K79" s="71">
        <f>IFERROR((K77/$B$7)*100,"")</f>
        <v/>
      </c>
      <c r="L79" s="71">
        <f>IFERROR((L77/$B$7)*100,"")</f>
        <v/>
      </c>
      <c r="M79" s="71">
        <f>IFERROR((M77/$B$7)*100,"")</f>
        <v/>
      </c>
      <c r="N79" s="71">
        <f>IFERROR((N77/$B$7)*100,"")</f>
        <v/>
      </c>
      <c r="O79" s="71">
        <f>IFERROR((O77/$B$7)*100,"")</f>
        <v/>
      </c>
      <c r="P79" s="71">
        <f>IFERROR((P77/$B$7)*100,"")</f>
        <v/>
      </c>
      <c r="Q79" s="71">
        <f>IFERROR((Q77/$B$7)*100,"")</f>
        <v/>
      </c>
      <c r="R79" s="71">
        <f>IFERROR((R77/$B$7)*100,"")</f>
        <v/>
      </c>
      <c r="S79" s="71">
        <f>IFERROR((S77/$B$7)*100,"")</f>
        <v/>
      </c>
      <c r="T79" s="71">
        <f>IFERROR((T77/$B$7)*100,"")</f>
        <v/>
      </c>
      <c r="U79" s="71">
        <f>IFERROR((U77/$B$7)*100,"")</f>
        <v/>
      </c>
      <c r="V79" s="71">
        <f>IFERROR((V77/$B$7)*100,"")</f>
        <v/>
      </c>
      <c r="W79" s="72">
        <f>IFERROR(ROUND((W77/$B$7)*100,2),"")</f>
        <v/>
      </c>
      <c r="X79" s="426" t="n"/>
      <c r="Y79" s="427" t="n"/>
      <c r="Z79" s="427" t="n"/>
      <c r="AA79" s="428" t="n"/>
      <c r="AB79" s="69" t="n"/>
      <c r="AC79" s="69" t="n"/>
      <c r="AD79" s="69" t="n"/>
    </row>
    <row r="80" ht="15" customHeight="1" s="1"/>
    <row r="81" ht="15" customHeight="1" s="1">
      <c r="A81" s="79" t="n"/>
      <c r="B81" s="80" t="n"/>
      <c r="C81" s="82" t="n"/>
      <c r="D81" s="82" t="n"/>
      <c r="E81" s="82" t="n"/>
      <c r="F81" s="82" t="n"/>
      <c r="G81" s="82" t="n"/>
      <c r="H81" s="82" t="n"/>
      <c r="I81" s="82" t="n"/>
      <c r="J81" s="82" t="n"/>
      <c r="K81" s="82" t="n"/>
      <c r="L81" s="82" t="n"/>
      <c r="M81" s="82" t="n"/>
      <c r="N81" s="82" t="n"/>
      <c r="O81" s="82" t="n"/>
      <c r="P81" s="82" t="n"/>
      <c r="Q81" s="82" t="n"/>
      <c r="R81" s="82" t="n"/>
      <c r="S81" s="82" t="n"/>
      <c r="T81" s="82" t="n"/>
      <c r="U81" s="82" t="n"/>
      <c r="V81" s="82" t="n"/>
      <c r="W81" s="82" t="n"/>
      <c r="X81" s="260" t="n"/>
      <c r="Y81" s="260" t="n"/>
      <c r="Z81" s="82" t="n"/>
      <c r="AA81" s="84" t="n"/>
      <c r="AB81" s="84" t="n"/>
    </row>
    <row r="82" ht="75.75" customHeight="1" s="1">
      <c r="A82" s="429" t="inlineStr">
        <is>
          <t>FOR KEY TEACHERS ONLY: The Rank and Item Number will be automatically encoded based on the data provided above. 
ONLY ENCODE COMPTENCY AND COURSE CODE, DO NOT EDIT RANK AND ITEM NUMBER</t>
        </is>
      </c>
      <c r="B82" s="430" t="n"/>
      <c r="C82" s="430" t="n"/>
      <c r="D82" s="430" t="n"/>
      <c r="E82" s="430" t="n"/>
      <c r="F82" s="430" t="n"/>
      <c r="G82" s="430" t="n"/>
      <c r="H82" s="430" t="n"/>
      <c r="I82" s="430" t="n"/>
      <c r="J82" s="430" t="n"/>
      <c r="K82" s="430" t="n"/>
      <c r="L82" s="430" t="n"/>
      <c r="M82" s="430" t="n"/>
      <c r="N82" s="430" t="n"/>
      <c r="O82" s="430" t="n"/>
      <c r="P82" s="430" t="n"/>
      <c r="Q82" s="430" t="n"/>
      <c r="R82" s="430" t="n"/>
      <c r="S82" s="430" t="n"/>
      <c r="T82" s="430" t="n"/>
      <c r="U82" s="430" t="n"/>
      <c r="V82" s="430" t="n"/>
      <c r="W82" s="430" t="n"/>
      <c r="X82" s="430" t="n"/>
      <c r="Y82" s="430" t="n"/>
      <c r="Z82" s="430" t="n"/>
      <c r="AA82" s="431" t="n"/>
      <c r="AB82" s="89" t="n"/>
    </row>
    <row r="83" ht="91.5" customFormat="1" customHeight="1" s="252">
      <c r="A83" s="90" t="inlineStr">
        <is>
          <t>LEAST MASTERED COMPETENCY</t>
        </is>
      </c>
      <c r="B83" s="430" t="n"/>
      <c r="C83" s="92" t="inlineStr">
        <is>
          <t>RANK</t>
        </is>
      </c>
      <c r="D83" s="93" t="inlineStr">
        <is>
          <t>Item No.</t>
        </is>
      </c>
      <c r="E83" s="432" t="inlineStr">
        <is>
          <t xml:space="preserve">COMPETENCY AND COURSE CODE (REQUIRED) 
EXAMPLE. Compare and contrast the nuances of varied online platforms, sites, and content to best achieve specific class objectives or address situational challenges
CS_ICT11/12-ICTPT-Ia-b-1
</t>
        </is>
      </c>
      <c r="F83" s="433" t="n"/>
      <c r="G83" s="433" t="n"/>
      <c r="H83" s="433" t="n"/>
      <c r="I83" s="433" t="n"/>
      <c r="J83" s="433" t="n"/>
      <c r="K83" s="433" t="n"/>
      <c r="L83" s="433" t="n"/>
      <c r="M83" s="433" t="n"/>
      <c r="N83" s="433" t="n"/>
      <c r="O83" s="433" t="n"/>
      <c r="P83" s="433" t="n"/>
      <c r="Q83" s="433" t="n"/>
      <c r="R83" s="433" t="n"/>
      <c r="S83" s="433" t="n"/>
      <c r="T83" s="433" t="n"/>
      <c r="U83" s="433" t="n"/>
      <c r="V83" s="433" t="n"/>
      <c r="W83" s="433" t="n"/>
      <c r="X83" s="433" t="n"/>
      <c r="Y83" s="433" t="n"/>
      <c r="Z83" s="433" t="n"/>
      <c r="AA83" s="434" t="n"/>
    </row>
    <row r="84" ht="69" customFormat="1" customHeight="1" s="253">
      <c r="A84" s="435" t="inlineStr">
        <is>
          <t xml:space="preserve">Least Mastered Competency   #1                         </t>
        </is>
      </c>
      <c r="B84" s="431" t="n"/>
      <c r="C84" s="99">
        <f t="array" ref="C84:C88">_xlfn._xlws.SORT(_xlfn._xlws.FILTER(Y16:Y75,Y16:Y75&gt;=LARGE(Y16:Y75,5)),1,-1)</f>
        <v/>
      </c>
      <c r="D84" s="100">
        <f t="array" ref="D84">INDEX($A$16:$A$75,MATCH(LARGE($Y$16:$Y$75-ROW($Y$16:$Y$75)/100000,ROWS($D$84:D84)),$Y$16:$Y$75-ROW($Y$16:$Y$75)/100000,0))</f>
        <v/>
      </c>
      <c r="E84" s="465" t="inlineStr">
        <is>
          <t>Nakagagamit ng angkop at mabisang wika at estruktura (hal. paggamit ng mga panandang kohesyong gramatikal) sa iba't ibang layunin. MabKom-11</t>
        </is>
      </c>
      <c r="F84" s="433" t="n"/>
      <c r="G84" s="433" t="n"/>
      <c r="H84" s="433" t="n"/>
      <c r="I84" s="433" t="n"/>
      <c r="J84" s="433" t="n"/>
      <c r="K84" s="433" t="n"/>
      <c r="L84" s="433" t="n"/>
      <c r="M84" s="433" t="n"/>
      <c r="N84" s="433" t="n"/>
      <c r="O84" s="433" t="n"/>
      <c r="P84" s="433" t="n"/>
      <c r="Q84" s="433" t="n"/>
      <c r="R84" s="433" t="n"/>
      <c r="S84" s="433" t="n"/>
      <c r="T84" s="433" t="n"/>
      <c r="U84" s="433" t="n"/>
      <c r="V84" s="433" t="n"/>
      <c r="W84" s="433" t="n"/>
      <c r="X84" s="433" t="n"/>
      <c r="Y84" s="433" t="n"/>
      <c r="Z84" s="433" t="n"/>
      <c r="AA84" s="434" t="n"/>
    </row>
    <row r="85" ht="56" customFormat="1" customHeight="1" s="253">
      <c r="A85" s="435" t="inlineStr">
        <is>
          <t xml:space="preserve">Least Mastered Competency   #2                    </t>
        </is>
      </c>
      <c r="B85" s="431" t="n"/>
      <c r="C85" s="99" t="n">
        <v>59</v>
      </c>
      <c r="D85" s="100">
        <f t="array" ref="D85">INDEX($A$16:$A$75,MATCH(LARGE($Y$16:$Y$75-ROW($Y$16:$Y$75)/100000,ROWS($D$84:D85)),$Y$16:$Y$75-ROW($Y$16:$Y$75)/100000,0))</f>
        <v/>
      </c>
      <c r="E85" s="436" t="inlineStr">
        <is>
          <t>Naipakikita ang sensibilidad sa mga panlipunang gampanin, pangkatang dinamika at kultural na pagkakakilanlan sa mga interaksyong face-to-face at online. MabKom-11</t>
        </is>
      </c>
      <c r="F85" s="433" t="n"/>
      <c r="G85" s="433" t="n"/>
      <c r="H85" s="433" t="n"/>
      <c r="I85" s="433" t="n"/>
      <c r="J85" s="433" t="n"/>
      <c r="K85" s="433" t="n"/>
      <c r="L85" s="433" t="n"/>
      <c r="M85" s="433" t="n"/>
      <c r="N85" s="433" t="n"/>
      <c r="O85" s="433" t="n"/>
      <c r="P85" s="433" t="n"/>
      <c r="Q85" s="433" t="n"/>
      <c r="R85" s="433" t="n"/>
      <c r="S85" s="433" t="n"/>
      <c r="T85" s="433" t="n"/>
      <c r="U85" s="433" t="n"/>
      <c r="V85" s="433" t="n"/>
      <c r="W85" s="433" t="n"/>
      <c r="X85" s="433" t="n"/>
      <c r="Y85" s="433" t="n"/>
      <c r="Z85" s="433" t="n"/>
      <c r="AA85" s="434" t="n"/>
      <c r="AB85" s="103" t="n"/>
    </row>
    <row r="86" ht="70.25" customFormat="1" customHeight="1" s="253">
      <c r="A86" s="435" t="inlineStr">
        <is>
          <t xml:space="preserve">Least Mastered Competency   #3                      </t>
        </is>
      </c>
      <c r="B86" s="431" t="n"/>
      <c r="C86" s="99" t="n">
        <v>58</v>
      </c>
      <c r="D86" s="100">
        <f t="array" ref="D86">INDEX($A$16:$A$75,MATCH(LARGE($Y$16:$Y$75-ROW($Y$16:$Y$75)/100000,ROWS($D$84:D86)),$Y$16:$Y$75-ROW($Y$16:$Y$75)/100000,0))</f>
        <v/>
      </c>
      <c r="E86" s="436" t="inlineStr">
        <is>
          <t>Nahihinuha ang pangunahing mensahe, ipinahihiwatig na kahulugan, at pagkiling o bias sa mga komunikasyong pampubliko, sibiko, o kultural. MabKom-11</t>
        </is>
      </c>
      <c r="F86" s="433" t="n"/>
      <c r="G86" s="433" t="n"/>
      <c r="H86" s="433" t="n"/>
      <c r="I86" s="433" t="n"/>
      <c r="J86" s="433" t="n"/>
      <c r="K86" s="433" t="n"/>
      <c r="L86" s="433" t="n"/>
      <c r="M86" s="433" t="n"/>
      <c r="N86" s="433" t="n"/>
      <c r="O86" s="433" t="n"/>
      <c r="P86" s="433" t="n"/>
      <c r="Q86" s="433" t="n"/>
      <c r="R86" s="433" t="n"/>
      <c r="S86" s="433" t="n"/>
      <c r="T86" s="433" t="n"/>
      <c r="U86" s="433" t="n"/>
      <c r="V86" s="433" t="n"/>
      <c r="W86" s="433" t="n"/>
      <c r="X86" s="433" t="n"/>
      <c r="Y86" s="433" t="n"/>
      <c r="Z86" s="433" t="n"/>
      <c r="AA86" s="434" t="n"/>
    </row>
    <row r="87" ht="57.5" customFormat="1" customHeight="1" s="253">
      <c r="A87" s="435" t="inlineStr">
        <is>
          <t xml:space="preserve">Least Mastered Competency   #4                        (COMPETENCY AND COURSE CODE) </t>
        </is>
      </c>
      <c r="B87" s="431" t="n"/>
      <c r="C87" s="99" t="n">
        <v>57</v>
      </c>
      <c r="D87" s="100">
        <f t="array" ref="D87">INDEX($A$16:$A$75,MATCH(LARGE($Y$16:$Y$75-ROW($Y$16:$Y$75)/100000,ROWS($D$84:D87)),$Y$16:$Y$75-ROW($Y$16:$Y$75)/100000,0))</f>
        <v/>
      </c>
      <c r="E87" s="436" t="inlineStr">
        <is>
          <t>Nakagagamit ng angkop at mabisang wika at estruktura (hal. paggamit ng mga panandang kohesyong gramatikal) sa iba't ibang layunin. MabKom-11</t>
        </is>
      </c>
      <c r="F87" s="433" t="n"/>
      <c r="G87" s="433" t="n"/>
      <c r="H87" s="433" t="n"/>
      <c r="I87" s="433" t="n"/>
      <c r="J87" s="433" t="n"/>
      <c r="K87" s="433" t="n"/>
      <c r="L87" s="433" t="n"/>
      <c r="M87" s="433" t="n"/>
      <c r="N87" s="433" t="n"/>
      <c r="O87" s="433" t="n"/>
      <c r="P87" s="433" t="n"/>
      <c r="Q87" s="433" t="n"/>
      <c r="R87" s="433" t="n"/>
      <c r="S87" s="433" t="n"/>
      <c r="T87" s="433" t="n"/>
      <c r="U87" s="433" t="n"/>
      <c r="V87" s="433" t="n"/>
      <c r="W87" s="433" t="n"/>
      <c r="X87" s="433" t="n"/>
      <c r="Y87" s="433" t="n"/>
      <c r="Z87" s="433" t="n"/>
      <c r="AA87" s="434" t="n"/>
    </row>
    <row r="88" ht="57.5" customFormat="1" customHeight="1" s="253">
      <c r="A88" s="435" t="inlineStr">
        <is>
          <t xml:space="preserve">Least Mastered Competency   #5                   </t>
        </is>
      </c>
      <c r="B88" s="431" t="n"/>
      <c r="C88" s="99" t="n">
        <v>56</v>
      </c>
      <c r="D88" s="100">
        <f t="array" ref="D88">INDEX($A$16:$A$75,MATCH(LARGE($Y$16:$Y$75-ROW($Y$16:$Y$75)/100000,ROWS($D$84:D88)),$Y$16:$Y$75-ROW($Y$16:$Y$75)/100000,0))</f>
        <v/>
      </c>
      <c r="E88" s="436" t="inlineStr">
        <is>
          <t>Nakagagamit ng angkop at mabisang wika at estruktura (hal. paggamit ng mga panandang kohesyong gramatikal) sa iba't ibang layunin. MabKom-11</t>
        </is>
      </c>
      <c r="F88" s="433" t="n"/>
      <c r="G88" s="433" t="n"/>
      <c r="H88" s="433" t="n"/>
      <c r="I88" s="433" t="n"/>
      <c r="J88" s="433" t="n"/>
      <c r="K88" s="433" t="n"/>
      <c r="L88" s="433" t="n"/>
      <c r="M88" s="433" t="n"/>
      <c r="N88" s="433" t="n"/>
      <c r="O88" s="433" t="n"/>
      <c r="P88" s="433" t="n"/>
      <c r="Q88" s="433" t="n"/>
      <c r="R88" s="433" t="n"/>
      <c r="S88" s="433" t="n"/>
      <c r="T88" s="433" t="n"/>
      <c r="U88" s="433" t="n"/>
      <c r="V88" s="433" t="n"/>
      <c r="W88" s="433" t="n"/>
      <c r="X88" s="433" t="n"/>
      <c r="Y88" s="433" t="n"/>
      <c r="Z88" s="433" t="n"/>
      <c r="AA88" s="434" t="n"/>
    </row>
    <row r="89" ht="15" customFormat="1" customHeight="1" s="4">
      <c r="A89" s="105" t="inlineStr">
        <is>
          <t>INTERVENTION</t>
        </is>
      </c>
      <c r="B89" s="437" t="n"/>
      <c r="C89" s="107" t="inlineStr">
        <is>
          <t>Planned Intervention/s to Address Least-Mastered Competencies*</t>
        </is>
      </c>
      <c r="D89" s="438" t="n"/>
      <c r="E89" s="438" t="n"/>
      <c r="F89" s="438" t="n"/>
      <c r="G89" s="438" t="n"/>
      <c r="H89" s="438" t="n"/>
      <c r="I89" s="438" t="n"/>
      <c r="J89" s="439" t="n"/>
      <c r="K89" s="110" t="inlineStr">
        <is>
          <t>Mode of Intervention*</t>
        </is>
      </c>
      <c r="L89" s="438" t="n"/>
      <c r="M89" s="438" t="n"/>
      <c r="N89" s="438" t="n"/>
      <c r="O89" s="438" t="n"/>
      <c r="P89" s="438" t="n"/>
      <c r="Q89" s="438" t="n"/>
      <c r="R89" s="439" t="n"/>
      <c r="S89" s="113" t="n"/>
      <c r="T89" s="113" t="n"/>
      <c r="U89" s="113" t="n"/>
      <c r="V89" s="113" t="n"/>
      <c r="W89" s="113" t="n"/>
      <c r="X89" s="113" t="n"/>
      <c r="Y89" s="114" t="n"/>
      <c r="Z89" s="114" t="n"/>
      <c r="AA89" s="114" t="n"/>
      <c r="AB89" s="114" t="n"/>
    </row>
    <row r="90" ht="34.25" customFormat="1" customHeight="1" s="5">
      <c r="A90" s="440" t="n"/>
      <c r="B90" s="437" t="n"/>
      <c r="C90" s="117" t="inlineStr">
        <is>
          <t xml:space="preserve">Select from the options below. You may select more than one. You may also indicate other interventions not on the list in "Other". For the descriptions of the listed interventions, see </t>
        </is>
      </c>
      <c r="D90" s="430" t="n"/>
      <c r="E90" s="430" t="n"/>
      <c r="F90" s="430" t="n"/>
      <c r="G90" s="430" t="n"/>
      <c r="H90" s="430" t="n"/>
      <c r="I90" s="430" t="n"/>
      <c r="J90" s="431" t="n"/>
      <c r="K90" s="120" t="inlineStr">
        <is>
          <t>Select from the options below. You may select only ONE preferred/prevalent mode. BE SURE to check appropriateness of mode of intervention/s to the identified least-mastered competencies.</t>
        </is>
      </c>
      <c r="L90" s="441" t="n"/>
      <c r="M90" s="441" t="n"/>
      <c r="N90" s="441" t="n"/>
      <c r="O90" s="441" t="n"/>
      <c r="P90" s="441" t="n"/>
      <c r="Q90" s="441" t="n"/>
      <c r="R90" s="442" t="n"/>
      <c r="S90" s="123" t="n"/>
      <c r="T90" s="123" t="n"/>
      <c r="U90" s="123" t="n"/>
      <c r="V90" s="123" t="n"/>
      <c r="W90" s="123" t="n"/>
      <c r="X90" s="123" t="n"/>
      <c r="Y90" s="124" t="n"/>
      <c r="Z90" s="124" t="n"/>
      <c r="AA90" s="124" t="n"/>
      <c r="AB90" s="124" t="n"/>
    </row>
    <row r="91" ht="33.5" customFormat="1" customHeight="1" s="4">
      <c r="A91" s="440" t="n"/>
      <c r="B91" s="437" t="n"/>
      <c r="C91" s="125" t="inlineStr">
        <is>
          <t>https://classroom.synonym.com/remediation-activities-8065079.html?fbclid=IwAR1Zsdeb2_vH_BnUKqNEG91d1JbkTx20ci9tfLf1WBX4UcmDou05SvK0a2c.</t>
        </is>
      </c>
      <c r="D91" s="443" t="n"/>
      <c r="E91" s="443" t="n"/>
      <c r="F91" s="443" t="n"/>
      <c r="G91" s="443" t="n"/>
      <c r="H91" s="443" t="n"/>
      <c r="I91" s="443" t="n"/>
      <c r="J91" s="444" t="n"/>
      <c r="K91" s="445" t="n"/>
      <c r="L91" s="438" t="n"/>
      <c r="M91" s="438" t="n"/>
      <c r="N91" s="438" t="n"/>
      <c r="O91" s="438" t="n"/>
      <c r="P91" s="438" t="n"/>
      <c r="Q91" s="438" t="n"/>
      <c r="R91" s="439" t="n"/>
      <c r="S91" s="131" t="n"/>
      <c r="T91" s="131" t="n"/>
      <c r="U91" s="131" t="n"/>
      <c r="V91" s="131" t="n"/>
      <c r="W91" s="131" t="n"/>
      <c r="X91" s="131" t="n"/>
      <c r="Y91" s="114" t="n"/>
      <c r="Z91" s="114" t="n"/>
      <c r="AA91" s="114" t="n"/>
      <c r="AB91" s="114" t="n"/>
    </row>
    <row r="92" ht="17.5" customFormat="1" customHeight="1" s="4">
      <c r="A92" s="440" t="n"/>
      <c r="B92" s="437" t="n"/>
      <c r="C92" s="132" t="inlineStr">
        <is>
          <t>Reteaching</t>
        </is>
      </c>
      <c r="D92" s="446" t="n"/>
      <c r="E92" s="446" t="n"/>
      <c r="F92" s="446" t="n"/>
      <c r="G92" s="447" t="n"/>
      <c r="H92" s="135" t="b">
        <v>0</v>
      </c>
      <c r="I92" s="446" t="n"/>
      <c r="J92" s="447" t="n"/>
      <c r="K92" s="138" t="inlineStr">
        <is>
          <t>Add-on (not within class hours, e.g., before or after class)</t>
        </is>
      </c>
      <c r="L92" s="448" t="n"/>
      <c r="M92" s="448" t="n"/>
      <c r="N92" s="448" t="n"/>
      <c r="O92" s="448" t="n"/>
      <c r="P92" s="449" t="n"/>
      <c r="Q92" s="141" t="b">
        <v>0</v>
      </c>
      <c r="R92" s="449" t="n"/>
      <c r="S92" s="143" t="n"/>
      <c r="T92" s="143" t="n"/>
      <c r="U92" s="144" t="n"/>
      <c r="V92" s="144" t="n"/>
      <c r="W92" s="143" t="n"/>
      <c r="X92" s="143" t="n"/>
      <c r="Y92" s="114" t="n"/>
      <c r="Z92" s="114" t="n"/>
      <c r="AA92" s="114" t="n"/>
      <c r="AB92" s="114" t="n"/>
    </row>
    <row r="93" ht="31" customFormat="1" customHeight="1" s="4">
      <c r="A93" s="440" t="n"/>
      <c r="B93" s="437" t="n"/>
      <c r="C93" s="145" t="inlineStr">
        <is>
          <t>Using alternative instructional strategies</t>
        </is>
      </c>
      <c r="D93" s="450" t="n"/>
      <c r="E93" s="450" t="n"/>
      <c r="F93" s="450" t="n"/>
      <c r="G93" s="451" t="n"/>
      <c r="H93" s="148" t="b">
        <v>0</v>
      </c>
      <c r="I93" s="450" t="n"/>
      <c r="J93" s="451" t="n"/>
      <c r="K93" s="452" t="n"/>
      <c r="L93" s="446" t="n"/>
      <c r="M93" s="446" t="n"/>
      <c r="N93" s="446" t="n"/>
      <c r="O93" s="446" t="n"/>
      <c r="P93" s="447" t="n"/>
      <c r="Q93" s="446" t="n"/>
      <c r="R93" s="447" t="n"/>
      <c r="S93" s="143" t="n"/>
      <c r="T93" s="143" t="n"/>
      <c r="U93" s="144" t="n"/>
      <c r="V93" s="144" t="n"/>
      <c r="W93" s="143" t="n"/>
      <c r="X93" s="143" t="n"/>
      <c r="Y93" s="156" t="n"/>
      <c r="Z93" s="156" t="n"/>
      <c r="AA93" s="114" t="n"/>
      <c r="AB93" s="114" t="n"/>
    </row>
    <row r="94" ht="20.25" customFormat="1" customHeight="1" s="4">
      <c r="A94" s="440" t="n"/>
      <c r="B94" s="437" t="n"/>
      <c r="C94" s="145" t="inlineStr">
        <is>
          <t>Task analysis</t>
        </is>
      </c>
      <c r="D94" s="450" t="n"/>
      <c r="E94" s="450" t="n"/>
      <c r="F94" s="450" t="n"/>
      <c r="G94" s="451" t="n"/>
      <c r="H94" s="148" t="b">
        <v>0</v>
      </c>
      <c r="I94" s="450" t="n"/>
      <c r="J94" s="451" t="n"/>
      <c r="K94" s="151" t="inlineStr">
        <is>
          <t>Pull-out (simultaneous with a regular class, but in another learning space)</t>
        </is>
      </c>
      <c r="L94" s="453" t="n"/>
      <c r="M94" s="453" t="n"/>
      <c r="N94" s="453" t="n"/>
      <c r="O94" s="453" t="n"/>
      <c r="P94" s="454" t="n"/>
      <c r="Q94" s="154" t="b">
        <v>0</v>
      </c>
      <c r="R94" s="454" t="n"/>
      <c r="S94" s="143" t="n"/>
      <c r="T94" s="143" t="n"/>
      <c r="U94" s="144" t="n"/>
      <c r="V94" s="144" t="n"/>
      <c r="W94" s="143" t="n"/>
      <c r="X94" s="143" t="n"/>
      <c r="Y94" s="156" t="n"/>
      <c r="Z94" s="156" t="n"/>
      <c r="AA94" s="114" t="n"/>
      <c r="AB94" s="114" t="n"/>
    </row>
    <row r="95" ht="20.25" customFormat="1" customHeight="1" s="4">
      <c r="A95" s="440" t="n"/>
      <c r="B95" s="437" t="n"/>
      <c r="C95" s="145" t="inlineStr">
        <is>
          <t>Additional practice</t>
        </is>
      </c>
      <c r="D95" s="450" t="n"/>
      <c r="E95" s="450" t="n"/>
      <c r="F95" s="450" t="n"/>
      <c r="G95" s="451" t="n"/>
      <c r="H95" s="148" t="b">
        <v>0</v>
      </c>
      <c r="I95" s="450" t="n"/>
      <c r="J95" s="451" t="n"/>
      <c r="K95" s="452" t="n"/>
      <c r="L95" s="446" t="n"/>
      <c r="M95" s="446" t="n"/>
      <c r="N95" s="446" t="n"/>
      <c r="O95" s="446" t="n"/>
      <c r="P95" s="447" t="n"/>
      <c r="Q95" s="446" t="n"/>
      <c r="R95" s="447" t="n"/>
      <c r="S95" s="143" t="n"/>
      <c r="T95" s="143" t="n"/>
      <c r="U95" s="144" t="n"/>
      <c r="V95" s="144" t="n"/>
      <c r="W95" s="143" t="n"/>
      <c r="X95" s="143" t="n"/>
      <c r="Y95" s="156" t="n"/>
      <c r="Z95" s="156" t="n"/>
      <c r="AA95" s="114" t="n"/>
      <c r="AB95" s="114" t="n"/>
    </row>
    <row r="96" ht="18" customFormat="1" customHeight="1" s="4">
      <c r="A96" s="440" t="n"/>
      <c r="B96" s="437" t="n"/>
      <c r="C96" s="145" t="inlineStr">
        <is>
          <t>One-on-one tutoring</t>
        </is>
      </c>
      <c r="D96" s="450" t="n"/>
      <c r="E96" s="450" t="n"/>
      <c r="F96" s="450" t="n"/>
      <c r="G96" s="451" t="n"/>
      <c r="H96" s="159" t="b">
        <v>0</v>
      </c>
      <c r="I96" s="453" t="n"/>
      <c r="J96" s="454" t="n"/>
      <c r="K96" s="151" t="inlineStr">
        <is>
          <t>Built-in (within the class hours)</t>
        </is>
      </c>
      <c r="L96" s="453" t="n"/>
      <c r="M96" s="453" t="n"/>
      <c r="N96" s="453" t="n"/>
      <c r="O96" s="453" t="n"/>
      <c r="P96" s="454" t="n"/>
      <c r="Q96" s="154" t="b">
        <v>0</v>
      </c>
      <c r="R96" s="454" t="n"/>
      <c r="S96" s="143" t="n"/>
      <c r="T96" s="143" t="n"/>
      <c r="U96" s="144" t="n"/>
      <c r="V96" s="144" t="n"/>
      <c r="W96" s="143" t="n"/>
      <c r="X96" s="143" t="n"/>
      <c r="Y96" s="156" t="n"/>
      <c r="Z96" s="156" t="n"/>
      <c r="AA96" s="114" t="n"/>
      <c r="AB96" s="114" t="n"/>
    </row>
    <row r="97" ht="59.25" customFormat="1" customHeight="1" s="4">
      <c r="A97" s="445" t="n"/>
      <c r="B97" s="439" t="n"/>
      <c r="C97" s="166" t="inlineStr">
        <is>
          <t>Other( Pls. indicate):</t>
        </is>
      </c>
      <c r="D97" s="443" t="n"/>
      <c r="E97" s="444" t="n"/>
      <c r="F97" s="169" t="n"/>
      <c r="G97" s="455" t="n"/>
      <c r="H97" s="455" t="n"/>
      <c r="I97" s="455" t="n"/>
      <c r="J97" s="456" t="n"/>
      <c r="K97" s="452" t="n"/>
      <c r="L97" s="446" t="n"/>
      <c r="M97" s="446" t="n"/>
      <c r="N97" s="446" t="n"/>
      <c r="O97" s="446" t="n"/>
      <c r="P97" s="447" t="n"/>
      <c r="Q97" s="446" t="n"/>
      <c r="R97" s="447" t="n"/>
      <c r="S97" s="143" t="n"/>
      <c r="T97" s="143" t="n"/>
      <c r="U97" s="144" t="n"/>
      <c r="V97" s="144" t="n"/>
      <c r="W97" s="143" t="n"/>
      <c r="X97" s="143" t="n"/>
      <c r="Y97" s="177" t="n"/>
      <c r="Z97" s="177" t="n"/>
      <c r="AA97" s="178" t="n"/>
      <c r="AB97" s="178" t="n"/>
    </row>
    <row r="98" s="1">
      <c r="A98" s="79" t="n"/>
      <c r="B98" s="80" t="n"/>
      <c r="C98" s="82" t="n"/>
      <c r="D98" s="82" t="n"/>
      <c r="E98" s="82" t="n"/>
      <c r="F98" s="82" t="n"/>
      <c r="G98" s="82" t="n"/>
      <c r="H98" s="82" t="n"/>
      <c r="I98" s="82" t="n"/>
      <c r="J98" s="82" t="n"/>
      <c r="K98" s="82" t="n"/>
      <c r="L98" s="82" t="n"/>
      <c r="M98" s="82" t="n"/>
      <c r="N98" s="82" t="n"/>
      <c r="O98" s="82" t="n"/>
      <c r="P98" s="82" t="n"/>
      <c r="Q98" s="82" t="n"/>
      <c r="R98" s="82" t="n"/>
      <c r="S98" s="82" t="n"/>
      <c r="T98" s="82" t="n"/>
      <c r="U98" s="82" t="n"/>
      <c r="V98" s="82" t="n"/>
      <c r="W98" s="82" t="n"/>
      <c r="X98" s="260" t="n"/>
      <c r="Y98" s="260" t="n"/>
      <c r="Z98" s="82" t="n"/>
      <c r="AA98" s="84" t="n"/>
      <c r="AB98" s="84" t="n"/>
    </row>
    <row r="99" s="1">
      <c r="A99" s="328" t="n"/>
      <c r="F99" s="329" t="n"/>
      <c r="G99" s="329" t="n"/>
      <c r="H99" s="329" t="n"/>
      <c r="I99" s="80" t="n"/>
      <c r="J99" s="80" t="n"/>
      <c r="K99" s="80" t="n"/>
      <c r="L99" s="80" t="n"/>
      <c r="M99" s="80" t="n"/>
      <c r="N99" s="329" t="n"/>
      <c r="O99" s="329" t="n"/>
      <c r="P99" s="329" t="n"/>
      <c r="Q99" s="80" t="n"/>
      <c r="R99" s="80" t="n"/>
      <c r="S99" s="80" t="n"/>
      <c r="T99" s="80" t="n"/>
      <c r="U99" s="80" t="n"/>
      <c r="V99" s="329" t="n"/>
      <c r="W99" s="329" t="n"/>
      <c r="X99" s="329" t="n"/>
      <c r="Y99" s="329" t="n"/>
      <c r="Z99" s="329" t="n"/>
    </row>
    <row r="100" ht="21.75" customHeight="1" s="1">
      <c r="A100" s="329" t="n"/>
      <c r="B100" s="329" t="n"/>
      <c r="C100" s="329" t="n"/>
      <c r="D100" s="329" t="n"/>
      <c r="E100" s="329" t="n"/>
      <c r="F100" s="329" t="n"/>
      <c r="G100" s="329" t="n"/>
      <c r="H100" s="329" t="n"/>
      <c r="I100" s="329" t="n"/>
      <c r="J100" s="329" t="n"/>
      <c r="K100" s="329" t="n"/>
      <c r="L100" s="329" t="n"/>
      <c r="M100" s="329" t="n"/>
      <c r="N100" s="329" t="n"/>
      <c r="O100" s="329" t="n"/>
      <c r="P100" s="329" t="n"/>
      <c r="Q100" s="329" t="n"/>
      <c r="R100" s="329" t="n"/>
      <c r="S100" s="329" t="n"/>
      <c r="T100" s="329" t="n"/>
      <c r="U100" s="329" t="n"/>
      <c r="V100" s="329" t="n"/>
      <c r="W100" s="329" t="n"/>
      <c r="X100" s="329" t="n"/>
      <c r="Y100" s="329" t="n"/>
      <c r="Z100" s="329" t="n"/>
    </row>
    <row r="101" s="1">
      <c r="A101" s="181" t="inlineStr">
        <is>
          <t>MARIANNE JOY P. VILLANUEVA</t>
        </is>
      </c>
      <c r="B101" s="417" t="n"/>
      <c r="C101" s="417" t="n"/>
      <c r="D101" s="417" t="n"/>
      <c r="E101" s="417" t="n"/>
      <c r="F101" s="183" t="n"/>
      <c r="G101" s="183" t="n"/>
      <c r="H101" s="184" t="inlineStr">
        <is>
          <t>KRISTINA DENISE K. BELO</t>
        </is>
      </c>
      <c r="L101" s="185" t="n"/>
      <c r="M101" s="184" t="inlineStr">
        <is>
          <t>ELIZABETH E. VERSOZA</t>
        </is>
      </c>
      <c r="Q101" s="185" t="n"/>
      <c r="R101" s="184" t="inlineStr">
        <is>
          <t>SALVACION A. MENDIOLA</t>
        </is>
      </c>
      <c r="V101" s="183" t="n"/>
      <c r="W101" s="184" t="n"/>
    </row>
    <row r="102" s="1">
      <c r="A102" s="186" t="inlineStr">
        <is>
          <t>Learning Area Key Teacher</t>
        </is>
      </c>
      <c r="B102" s="415" t="n"/>
      <c r="C102" s="415" t="n"/>
      <c r="D102" s="415" t="n"/>
      <c r="E102" s="415" t="n"/>
      <c r="F102" s="188" t="n"/>
      <c r="G102" s="188" t="n"/>
      <c r="H102" s="189" t="inlineStr">
        <is>
          <t>Subject Teacher</t>
        </is>
      </c>
      <c r="I102" s="415" t="n"/>
      <c r="J102" s="415" t="n"/>
      <c r="K102" s="415" t="n"/>
      <c r="L102" s="190" t="n"/>
      <c r="M102" s="189" t="inlineStr">
        <is>
          <t>Subject Teacher</t>
        </is>
      </c>
      <c r="N102" s="415" t="n"/>
      <c r="O102" s="415" t="n"/>
      <c r="P102" s="415" t="n"/>
      <c r="Q102" s="190" t="n"/>
      <c r="R102" s="189" t="inlineStr">
        <is>
          <t>Subject Teacher</t>
        </is>
      </c>
      <c r="S102" s="415" t="n"/>
      <c r="T102" s="415" t="n"/>
      <c r="U102" s="415" t="n"/>
      <c r="V102" s="188" t="n"/>
      <c r="W102" s="189" t="inlineStr">
        <is>
          <t>Subject Teacher</t>
        </is>
      </c>
      <c r="X102" s="415" t="n"/>
      <c r="Y102" s="415" t="n"/>
      <c r="Z102" s="415" t="n"/>
    </row>
    <row r="103" s="1">
      <c r="A103" s="329" t="n"/>
      <c r="B103" s="329" t="n"/>
      <c r="C103" s="329" t="n"/>
      <c r="D103" s="329" t="n"/>
      <c r="E103" s="329" t="n"/>
      <c r="F103" s="329" t="n"/>
      <c r="G103" s="329" t="n"/>
      <c r="H103" s="329" t="n"/>
      <c r="I103" s="329" t="n"/>
      <c r="J103" s="329" t="n"/>
      <c r="K103" s="329" t="n"/>
      <c r="L103" s="329" t="n"/>
      <c r="M103" s="329" t="n"/>
      <c r="N103" s="329" t="n"/>
      <c r="O103" s="329" t="n"/>
      <c r="P103" s="329" t="n"/>
      <c r="Q103" s="329" t="n"/>
      <c r="R103" s="329" t="n"/>
      <c r="S103" s="329" t="n"/>
      <c r="T103" s="329" t="n"/>
      <c r="U103" s="329" t="n"/>
      <c r="V103" s="329" t="n"/>
      <c r="W103" s="329" t="n"/>
      <c r="X103" s="329" t="n"/>
      <c r="Y103" s="329" t="n"/>
      <c r="Z103" s="329" t="n"/>
    </row>
    <row r="104" s="1">
      <c r="A104" s="328" t="inlineStr">
        <is>
          <t>Reviewed:</t>
        </is>
      </c>
      <c r="F104" s="329" t="n"/>
      <c r="G104" s="329" t="n"/>
      <c r="H104" s="329" t="n"/>
      <c r="I104" s="329" t="n"/>
      <c r="J104" s="329" t="n"/>
      <c r="K104" s="329" t="n"/>
      <c r="L104" s="329" t="n"/>
      <c r="M104" s="329" t="n"/>
      <c r="N104" s="329" t="n"/>
      <c r="O104" s="329" t="n"/>
      <c r="P104" s="329" t="n"/>
      <c r="Q104" s="329" t="n"/>
      <c r="R104" s="329" t="n"/>
      <c r="S104" s="329" t="n"/>
      <c r="T104" s="329" t="n"/>
      <c r="U104" s="329" t="n"/>
      <c r="V104" s="329" t="n"/>
      <c r="W104" s="329" t="n"/>
      <c r="X104" s="329" t="n"/>
      <c r="Y104" s="329" t="n"/>
      <c r="Z104" s="329" t="n"/>
    </row>
    <row r="105" ht="21.75" customHeight="1" s="1">
      <c r="A105" s="329" t="n"/>
      <c r="B105" s="329" t="n"/>
      <c r="C105" s="329" t="n"/>
      <c r="D105" s="329" t="n"/>
      <c r="E105" s="329" t="n"/>
      <c r="F105" s="329" t="n"/>
      <c r="G105" s="329" t="n"/>
      <c r="H105" s="329" t="n"/>
      <c r="I105" s="329" t="n"/>
      <c r="J105" s="329" t="n"/>
      <c r="K105" s="329" t="n"/>
      <c r="L105" s="329" t="n"/>
      <c r="M105" s="329" t="n"/>
      <c r="N105" s="329" t="n"/>
      <c r="O105" s="329" t="n"/>
      <c r="P105" s="329" t="n"/>
      <c r="Q105" s="329" t="n"/>
      <c r="V105" s="183" t="n"/>
      <c r="W105" s="184" t="n"/>
    </row>
    <row r="106" s="1">
      <c r="A106" s="181" t="inlineStr">
        <is>
          <t>SHEELA ANNE C. MARAAN</t>
        </is>
      </c>
      <c r="B106" s="417" t="n"/>
      <c r="C106" s="417" t="n"/>
      <c r="D106" s="417" t="n"/>
      <c r="E106" s="417" t="n"/>
      <c r="F106" s="329" t="n"/>
      <c r="G106" s="329" t="n"/>
      <c r="H106" s="184" t="inlineStr">
        <is>
          <t>BRYAN R. VARGAS</t>
        </is>
      </c>
      <c r="L106" s="329" t="n"/>
      <c r="M106" s="184" t="n"/>
      <c r="Q106" s="329" t="n"/>
      <c r="V106" s="188" t="n"/>
      <c r="W106" s="189" t="inlineStr">
        <is>
          <t>Subject Teacher</t>
        </is>
      </c>
      <c r="X106" s="415" t="n"/>
      <c r="Y106" s="415" t="n"/>
      <c r="Z106" s="415" t="n"/>
    </row>
    <row r="107" s="1">
      <c r="A107" s="186" t="inlineStr">
        <is>
          <t>Master Teacher/Head Teacher</t>
        </is>
      </c>
      <c r="B107" s="415" t="n"/>
      <c r="C107" s="415" t="n"/>
      <c r="D107" s="415" t="n"/>
      <c r="E107" s="415" t="n"/>
      <c r="F107" s="329" t="n"/>
      <c r="G107" s="329" t="n"/>
      <c r="H107" s="189" t="inlineStr">
        <is>
          <t>Subject Teacher</t>
        </is>
      </c>
      <c r="I107" s="415" t="n"/>
      <c r="J107" s="415" t="n"/>
      <c r="K107" s="415" t="n"/>
      <c r="L107" s="329" t="n"/>
      <c r="M107" s="189" t="inlineStr">
        <is>
          <t>Subject Teacher</t>
        </is>
      </c>
      <c r="N107" s="415" t="n"/>
      <c r="O107" s="415" t="n"/>
      <c r="P107" s="415" t="n"/>
      <c r="Q107" s="329" t="n"/>
      <c r="R107" s="329" t="n"/>
      <c r="S107" s="329" t="n"/>
      <c r="T107" s="329" t="n"/>
      <c r="U107" s="329" t="n"/>
      <c r="V107" s="329" t="n"/>
      <c r="W107" s="329" t="n"/>
      <c r="X107" s="329" t="n"/>
      <c r="Y107" s="329" t="n"/>
      <c r="Z107" s="329" t="n"/>
    </row>
    <row r="108" s="1">
      <c r="A108" s="329" t="n"/>
      <c r="B108" s="329" t="n"/>
      <c r="C108" s="329" t="n"/>
      <c r="D108" s="329" t="n"/>
      <c r="E108" s="329" t="n"/>
      <c r="F108" s="329" t="n"/>
      <c r="G108" s="329" t="n"/>
      <c r="H108" s="329" t="n"/>
      <c r="I108" s="329" t="n"/>
      <c r="J108" s="329" t="n"/>
      <c r="K108" s="329" t="n"/>
      <c r="L108" s="329" t="n"/>
      <c r="M108" s="329" t="n"/>
      <c r="N108" s="329" t="n"/>
      <c r="O108" s="329" t="n"/>
      <c r="P108" s="329" t="n"/>
      <c r="Q108" s="329" t="n"/>
      <c r="R108" s="329" t="n"/>
      <c r="S108" s="329" t="n"/>
      <c r="T108" s="329" t="n"/>
      <c r="U108" s="329" t="n"/>
      <c r="V108" s="329" t="n"/>
      <c r="W108" s="329" t="n"/>
      <c r="X108" s="329" t="n"/>
      <c r="Y108" s="329" t="n"/>
      <c r="Z108" s="329" t="n"/>
    </row>
    <row r="109" s="1">
      <c r="A109" s="328" t="inlineStr">
        <is>
          <t>Noted and Approved for Submission to CSDO:</t>
        </is>
      </c>
      <c r="F109" s="329" t="n"/>
      <c r="G109" s="329" t="n"/>
      <c r="H109" s="329" t="n"/>
      <c r="I109" s="329" t="n"/>
      <c r="J109" s="329" t="n"/>
      <c r="K109" s="329" t="n"/>
      <c r="L109" s="329" t="n"/>
      <c r="M109" s="329" t="n"/>
      <c r="N109" s="329" t="n"/>
      <c r="O109" s="329" t="n"/>
      <c r="P109" s="329" t="n"/>
      <c r="Q109" s="329" t="n"/>
      <c r="R109" s="329" t="n"/>
      <c r="S109" s="329" t="n"/>
      <c r="T109" s="329" t="n"/>
      <c r="U109" s="329" t="n"/>
      <c r="V109" s="329" t="n"/>
      <c r="W109" s="329" t="n"/>
      <c r="X109" s="329" t="n"/>
      <c r="Y109" s="329" t="n"/>
      <c r="Z109" s="329" t="n"/>
    </row>
    <row r="110" ht="21.75" customHeight="1" s="1">
      <c r="A110" s="329" t="n"/>
      <c r="B110" s="329" t="n"/>
      <c r="C110" s="329" t="n"/>
      <c r="D110" s="329" t="n"/>
      <c r="E110" s="329" t="n"/>
      <c r="F110" s="329" t="n"/>
      <c r="G110" s="329" t="n"/>
      <c r="H110" s="329" t="n"/>
      <c r="I110" s="329" t="n"/>
      <c r="J110" s="329" t="n"/>
      <c r="K110" s="329" t="n"/>
      <c r="L110" s="329" t="n"/>
      <c r="M110" s="329" t="n"/>
      <c r="N110" s="329" t="n"/>
      <c r="O110" s="329" t="n"/>
      <c r="P110" s="329" t="n"/>
      <c r="Q110" s="329" t="n"/>
      <c r="R110" s="329" t="n"/>
      <c r="S110" s="329" t="n"/>
      <c r="T110" s="329" t="n"/>
      <c r="U110" s="329" t="n"/>
      <c r="V110" s="329" t="n"/>
      <c r="W110" s="329" t="n"/>
      <c r="X110" s="329" t="n"/>
      <c r="Y110" s="329" t="n"/>
      <c r="Z110" s="329" t="n"/>
    </row>
    <row r="111" s="1">
      <c r="A111" s="191" t="inlineStr">
        <is>
          <t>MA. CRISTINA P. ALCARAZ</t>
        </is>
      </c>
      <c r="B111" s="417" t="n"/>
      <c r="C111" s="417" t="n"/>
      <c r="D111" s="417" t="n"/>
      <c r="E111" s="417" t="n"/>
      <c r="F111" s="329" t="n"/>
      <c r="G111" s="329" t="n"/>
      <c r="H111" s="329" t="n"/>
      <c r="I111" s="329" t="n"/>
      <c r="J111" s="329" t="n"/>
      <c r="K111" s="329" t="n"/>
      <c r="L111" s="329" t="n"/>
      <c r="M111" s="329" t="n"/>
      <c r="N111" s="329" t="n"/>
      <c r="O111" s="329" t="n"/>
      <c r="P111" s="329" t="n"/>
      <c r="Q111" s="329" t="n"/>
      <c r="R111" s="329" t="n"/>
      <c r="S111" s="329" t="n"/>
      <c r="T111" s="329" t="n"/>
      <c r="U111" s="329" t="n"/>
      <c r="V111" s="329" t="n"/>
      <c r="W111" s="329" t="n"/>
      <c r="X111" s="329" t="n"/>
      <c r="Y111" s="329" t="n"/>
      <c r="Z111" s="329" t="n"/>
    </row>
    <row r="112" s="1">
      <c r="A112" s="186" t="inlineStr">
        <is>
          <t>School Head</t>
        </is>
      </c>
      <c r="B112" s="415" t="n"/>
      <c r="C112" s="415" t="n"/>
      <c r="D112" s="415" t="n"/>
      <c r="E112" s="415" t="n"/>
      <c r="F112" s="329" t="n"/>
      <c r="G112" s="329" t="n"/>
      <c r="H112" s="329" t="n"/>
      <c r="I112" s="329" t="n"/>
      <c r="J112" s="329" t="n"/>
      <c r="K112" s="329" t="n"/>
      <c r="L112" s="329" t="n"/>
      <c r="M112" s="329" t="n"/>
      <c r="N112" s="329" t="n"/>
      <c r="O112" s="329" t="n"/>
      <c r="P112" s="329" t="n"/>
      <c r="Q112" s="329" t="n"/>
      <c r="R112" s="329" t="n"/>
      <c r="S112" s="329" t="n"/>
      <c r="T112" s="329" t="n"/>
      <c r="U112" s="329" t="n"/>
      <c r="V112" s="329" t="n"/>
      <c r="W112" s="329" t="n"/>
      <c r="X112" s="329" t="n"/>
      <c r="Y112" s="329" t="n"/>
      <c r="Z112" s="329" t="n"/>
    </row>
    <row r="113" s="1">
      <c r="A113" s="330" t="n"/>
      <c r="B113" s="82" t="n"/>
      <c r="C113" s="82" t="n"/>
      <c r="D113" s="82" t="n"/>
      <c r="E113" s="82" t="n"/>
      <c r="F113" s="82" t="n"/>
      <c r="G113" s="82" t="n"/>
      <c r="H113" s="82" t="n"/>
      <c r="I113" s="82" t="n"/>
      <c r="J113" s="82" t="n"/>
      <c r="K113" s="82" t="n"/>
      <c r="L113" s="82" t="n"/>
      <c r="M113" s="82" t="n"/>
      <c r="N113" s="82" t="n"/>
      <c r="O113" s="82" t="n"/>
      <c r="P113" s="82" t="n"/>
      <c r="Q113" s="82" t="n"/>
      <c r="R113" s="82" t="n"/>
      <c r="S113" s="82" t="n"/>
      <c r="T113" s="82" t="n"/>
      <c r="U113" s="82" t="n"/>
      <c r="V113" s="82" t="n"/>
      <c r="W113" s="82" t="n"/>
      <c r="X113" s="82" t="n"/>
      <c r="Y113" s="82" t="n"/>
      <c r="Z113" s="69" t="n"/>
    </row>
    <row r="114" s="1">
      <c r="A114" s="330" t="n"/>
      <c r="B114" s="330" t="n"/>
      <c r="C114" s="332" t="n"/>
      <c r="D114" s="332" t="n"/>
      <c r="E114" s="80" t="n"/>
      <c r="F114" s="80" t="n"/>
      <c r="G114" s="80" t="n"/>
      <c r="H114" s="80" t="n"/>
      <c r="I114" s="80" t="n"/>
      <c r="J114" s="80" t="n"/>
      <c r="K114" s="80" t="n"/>
      <c r="L114" s="80" t="n"/>
      <c r="M114" s="80" t="n"/>
      <c r="N114" s="80" t="n"/>
      <c r="O114" s="80" t="n"/>
      <c r="P114" s="80" t="n"/>
      <c r="Q114" s="80" t="n"/>
      <c r="R114" s="80" t="n"/>
      <c r="S114" s="80" t="n"/>
      <c r="T114" s="80" t="n"/>
      <c r="U114" s="80" t="n"/>
      <c r="V114" s="330" t="n"/>
      <c r="W114" s="330" t="n"/>
      <c r="X114" s="330" t="n"/>
      <c r="Y114" s="330" t="n"/>
      <c r="Z114" s="330" t="n"/>
    </row>
    <row r="115" s="1">
      <c r="A115" s="330" t="n"/>
      <c r="B115" s="82" t="n"/>
      <c r="C115" s="82" t="n"/>
      <c r="D115" s="82" t="n"/>
      <c r="E115" s="82" t="n"/>
      <c r="F115" s="82" t="n"/>
      <c r="G115" s="82" t="n"/>
      <c r="H115" s="82" t="n"/>
      <c r="I115" s="82" t="n"/>
      <c r="J115" s="82" t="n"/>
      <c r="K115" s="82" t="n"/>
      <c r="L115" s="82" t="n"/>
      <c r="M115" s="82" t="n"/>
      <c r="N115" s="82" t="n"/>
      <c r="O115" s="82" t="n"/>
      <c r="P115" s="82" t="n"/>
      <c r="Q115" s="82" t="n"/>
      <c r="R115" s="82" t="n"/>
      <c r="S115" s="82" t="n"/>
      <c r="T115" s="82" t="n"/>
      <c r="U115" s="82" t="n"/>
      <c r="V115" s="82" t="n"/>
      <c r="W115" s="82" t="n"/>
      <c r="X115" s="82" t="n"/>
      <c r="Y115" s="82" t="n"/>
      <c r="Z115" s="82" t="n"/>
    </row>
    <row r="116" s="1">
      <c r="A116" s="330" t="n"/>
      <c r="B116" s="82" t="n"/>
      <c r="C116" s="82" t="n"/>
      <c r="D116" s="82" t="n"/>
      <c r="E116" s="82" t="n"/>
      <c r="F116" s="82" t="n"/>
      <c r="G116" s="82" t="n"/>
      <c r="H116" s="82" t="n"/>
      <c r="I116" s="82" t="n"/>
      <c r="J116" s="82" t="n"/>
      <c r="K116" s="82" t="n"/>
      <c r="L116" s="82" t="n"/>
      <c r="M116" s="82" t="n"/>
      <c r="N116" s="82" t="n"/>
      <c r="O116" s="82" t="n"/>
      <c r="P116" s="82" t="n"/>
      <c r="Q116" s="82" t="n"/>
      <c r="R116" s="82" t="n"/>
      <c r="S116" s="82" t="n"/>
      <c r="T116" s="82" t="n"/>
      <c r="U116" s="82" t="n"/>
      <c r="V116" s="82" t="n"/>
      <c r="W116" s="82" t="n"/>
      <c r="X116" s="82" t="n"/>
      <c r="Y116" s="82" t="n"/>
      <c r="Z116" s="82" t="n"/>
    </row>
    <row r="117">
      <c r="A117" s="194" t="inlineStr">
        <is>
          <t>STEP 2: ENCODE THE QUARTERLY ASSESSMENT SCORES OBTAINED</t>
        </is>
      </c>
      <c r="B117" s="82" t="n"/>
      <c r="C117" s="82" t="n"/>
      <c r="D117" s="82" t="n"/>
      <c r="E117" s="82" t="n"/>
      <c r="F117" s="82" t="n"/>
      <c r="G117" s="82" t="n"/>
      <c r="H117" s="82" t="n"/>
      <c r="I117" s="82" t="n"/>
      <c r="J117" s="82" t="n"/>
      <c r="K117" s="82" t="n"/>
      <c r="L117" s="82" t="n"/>
      <c r="M117" s="82" t="n"/>
      <c r="N117" s="82" t="n"/>
      <c r="O117" s="82" t="n"/>
      <c r="P117" s="82" t="n"/>
      <c r="Q117" s="82" t="n"/>
      <c r="R117" s="82" t="n"/>
      <c r="S117" s="82" t="n"/>
      <c r="T117" s="82" t="n"/>
      <c r="U117" s="82" t="n"/>
      <c r="V117" s="82" t="n"/>
      <c r="W117" s="82" t="n"/>
      <c r="X117" s="82" t="n"/>
      <c r="Y117" s="82" t="n"/>
      <c r="Z117" s="82" t="n"/>
    </row>
    <row r="118" s="1">
      <c r="A118" s="330" t="n"/>
      <c r="B118" s="82" t="n"/>
      <c r="C118" s="82" t="n"/>
      <c r="D118" s="82" t="n"/>
      <c r="E118" s="82" t="n"/>
      <c r="F118" s="82" t="n"/>
      <c r="G118" s="82" t="n"/>
      <c r="H118" s="82" t="n"/>
      <c r="I118" s="82" t="n"/>
      <c r="J118" s="82" t="n"/>
      <c r="K118" s="82" t="n"/>
      <c r="L118" s="82" t="n"/>
      <c r="M118" s="82" t="n"/>
      <c r="N118" s="82" t="n"/>
      <c r="O118" s="82" t="n"/>
      <c r="P118" s="82" t="n"/>
      <c r="Q118" s="82" t="n"/>
      <c r="R118" s="82" t="n"/>
      <c r="S118" s="82" t="n"/>
      <c r="T118" s="82" t="n"/>
      <c r="U118" s="82" t="n"/>
      <c r="V118" s="82" t="n"/>
      <c r="W118" s="82" t="n"/>
      <c r="X118" s="82" t="n"/>
      <c r="Y118" s="82" t="n"/>
      <c r="Z118" s="82" t="n"/>
    </row>
    <row r="119" ht="82.5" customHeight="1" s="1">
      <c r="A119" s="300" t="inlineStr">
        <is>
          <t>QUARTER ASSESSMENT</t>
        </is>
      </c>
      <c r="B119" s="457" t="inlineStr">
        <is>
          <t>TERM ASSESSMENT SCORES OBTAINED</t>
        </is>
      </c>
      <c r="C119" s="412" t="n"/>
      <c r="D119" s="412" t="n"/>
      <c r="E119" s="412" t="n"/>
      <c r="F119" s="412" t="n"/>
      <c r="G119" s="412" t="n"/>
      <c r="H119" s="412" t="n"/>
      <c r="I119" s="412" t="n"/>
      <c r="J119" s="412" t="n"/>
      <c r="K119" s="412" t="n"/>
      <c r="L119" s="412" t="n"/>
      <c r="M119" s="412" t="n"/>
      <c r="N119" s="412" t="n"/>
      <c r="O119" s="412" t="n"/>
      <c r="P119" s="412" t="n"/>
      <c r="Q119" s="412" t="n"/>
      <c r="R119" s="412" t="n"/>
      <c r="S119" s="412" t="n"/>
      <c r="T119" s="412" t="n"/>
      <c r="U119" s="412" t="n"/>
      <c r="V119" s="414" t="n"/>
      <c r="W119" s="298" t="n"/>
      <c r="X119" s="298" t="n"/>
      <c r="Y119" s="298" t="n"/>
      <c r="Z119" s="298" t="n"/>
    </row>
    <row r="120" ht="45" customHeight="1" s="1">
      <c r="A120" s="41" t="inlineStr">
        <is>
          <t>Sections/Classes</t>
        </is>
      </c>
      <c r="B120" s="41">
        <f>IF(B13&lt;&gt;"",B13,"")</f>
        <v/>
      </c>
      <c r="C120" s="41">
        <f>IF(C13&lt;&gt;"",C13,"")</f>
        <v/>
      </c>
      <c r="D120" s="41">
        <f>IF(D13&lt;&gt;"",D13,"")</f>
        <v/>
      </c>
      <c r="E120" s="41">
        <f>IF(E13&lt;&gt;"",E13,"")</f>
        <v/>
      </c>
      <c r="F120" s="41">
        <f>IF(F13&lt;&gt;"",F13,"")</f>
        <v/>
      </c>
      <c r="G120" s="41">
        <f>IF(G13&lt;&gt;"",G13,"")</f>
        <v/>
      </c>
      <c r="H120" s="41">
        <f>IF(H13&lt;&gt;"",H13,"")</f>
        <v/>
      </c>
      <c r="I120" s="41">
        <f>IF(I13&lt;&gt;"",I13,"")</f>
        <v/>
      </c>
      <c r="J120" s="41">
        <f>IF(J13&lt;&gt;"",J13,"")</f>
        <v/>
      </c>
      <c r="K120" s="41">
        <f>IF(K13&lt;&gt;"",K13,"")</f>
        <v/>
      </c>
      <c r="L120" s="41">
        <f>IF(L13&lt;&gt;"",L13,"")</f>
        <v/>
      </c>
      <c r="M120" s="41">
        <f>IF(M13&lt;&gt;"",M13,"")</f>
        <v/>
      </c>
      <c r="N120" s="41" t="n"/>
      <c r="O120" s="41">
        <f>IF(O13&lt;&gt;"",O13,"")</f>
        <v/>
      </c>
      <c r="P120" s="41">
        <f>IF(P13&lt;&gt;"",P13,"")</f>
        <v/>
      </c>
      <c r="Q120" s="41">
        <f>IF(Q13&lt;&gt;"",Q13,"")</f>
        <v/>
      </c>
      <c r="R120" s="41">
        <f>IF(R13&lt;&gt;"",R13,"")</f>
        <v/>
      </c>
      <c r="S120" s="41">
        <f>IF(S13&lt;&gt;"",S13,"")</f>
        <v/>
      </c>
      <c r="T120" s="41">
        <f>IF(T13&lt;&gt;"",T13,"")</f>
        <v/>
      </c>
      <c r="U120" s="41">
        <f>IF(U13&lt;&gt;"",U13,"")</f>
        <v/>
      </c>
      <c r="V120" s="41">
        <f>IF(V13&lt;&gt;"",V13,"")</f>
        <v/>
      </c>
      <c r="W120" s="69" t="n"/>
      <c r="X120" s="69" t="n"/>
      <c r="Y120" s="80" t="n"/>
      <c r="Z120" s="80" t="n"/>
    </row>
    <row r="121" s="1">
      <c r="A121" s="47" t="inlineStr">
        <is>
          <t>No. of Examinees</t>
        </is>
      </c>
      <c r="B121" s="198">
        <f>IF(B14&lt;&gt;"",B14,"")</f>
        <v/>
      </c>
      <c r="C121" s="198">
        <f>IF(C14&lt;&gt;"",C14,"")</f>
        <v/>
      </c>
      <c r="D121" s="198">
        <f>IF(D14&lt;&gt;"",D14,"")</f>
        <v/>
      </c>
      <c r="E121" s="198">
        <f>IF(E14&lt;&gt;"",E14,"")</f>
        <v/>
      </c>
      <c r="F121" s="198">
        <f>IF(F14&lt;&gt;"",F14,"")</f>
        <v/>
      </c>
      <c r="G121" s="198">
        <f>IF(G14&lt;&gt;"",G14,"")</f>
        <v/>
      </c>
      <c r="H121" s="198">
        <f>IF(H14&lt;&gt;"",H14,"")</f>
        <v/>
      </c>
      <c r="I121" s="198">
        <f>IF(I14&lt;&gt;"",I14,"")</f>
        <v/>
      </c>
      <c r="J121" s="198">
        <f>IF(J14&lt;&gt;"",J14,"")</f>
        <v/>
      </c>
      <c r="K121" s="198">
        <f>IF(K14&lt;&gt;"",K14,"")</f>
        <v/>
      </c>
      <c r="L121" s="198">
        <f>IF(L14&lt;&gt;"",L14,"")</f>
        <v/>
      </c>
      <c r="M121" s="198">
        <f>IF(M14&lt;&gt;"",M14,"")</f>
        <v/>
      </c>
      <c r="N121" s="198">
        <f>IF(N14&lt;&gt;"",N14,"")</f>
        <v/>
      </c>
      <c r="O121" s="198">
        <f>IF(O14&lt;&gt;"",O14,"")</f>
        <v/>
      </c>
      <c r="P121" s="198">
        <f>IF(P14&lt;&gt;"",P14,"")</f>
        <v/>
      </c>
      <c r="Q121" s="198">
        <f>IF(Q14&lt;&gt;"",Q14,"")</f>
        <v/>
      </c>
      <c r="R121" s="198">
        <f>IF(R14&lt;&gt;"",R14,"")</f>
        <v/>
      </c>
      <c r="S121" s="198">
        <f>IF(S14&lt;&gt;"",S14,"")</f>
        <v/>
      </c>
      <c r="T121" s="198">
        <f>IF(T14&lt;&gt;"",T14,"")</f>
        <v/>
      </c>
      <c r="U121" s="198">
        <f>IF(U14&lt;&gt;"",U14,"")</f>
        <v/>
      </c>
      <c r="V121" s="198">
        <f>IF(V14&lt;&gt;"",V14,"")</f>
        <v/>
      </c>
      <c r="W121" s="69" t="n"/>
      <c r="X121" s="69" t="n"/>
      <c r="Y121" s="80" t="n"/>
      <c r="Z121" s="80" t="n"/>
    </row>
    <row r="122" s="1">
      <c r="A122" s="52" t="inlineStr">
        <is>
          <t>Examinee No.</t>
        </is>
      </c>
      <c r="B122" s="199" t="n"/>
      <c r="C122" s="54" t="n"/>
      <c r="D122" s="54" t="n"/>
      <c r="E122" s="54" t="n"/>
      <c r="F122" s="54" t="n"/>
      <c r="G122" s="54" t="n"/>
      <c r="H122" s="54" t="n"/>
      <c r="I122" s="54" t="n"/>
      <c r="J122" s="54" t="n"/>
      <c r="K122" s="54" t="n"/>
      <c r="L122" s="54" t="n"/>
      <c r="M122" s="54" t="n"/>
      <c r="N122" s="54" t="n"/>
      <c r="O122" s="54" t="n"/>
      <c r="P122" s="54" t="n"/>
      <c r="Q122" s="54" t="n"/>
      <c r="R122" s="54" t="n"/>
      <c r="S122" s="54" t="n"/>
      <c r="T122" s="54" t="n"/>
      <c r="U122" s="54" t="n"/>
      <c r="V122" s="54" t="n"/>
      <c r="W122" s="69" t="n"/>
      <c r="X122" s="69" t="n"/>
    </row>
    <row r="123" s="1">
      <c r="A123" s="52" t="n">
        <v>1</v>
      </c>
      <c r="B123" s="200" t="n"/>
      <c r="C123" s="200" t="n"/>
      <c r="D123" s="200" t="n"/>
      <c r="E123" s="200" t="n"/>
      <c r="F123" s="200" t="n"/>
      <c r="G123" s="200" t="n"/>
      <c r="H123" s="200" t="n"/>
      <c r="I123" s="200" t="n"/>
      <c r="J123" s="200" t="n"/>
      <c r="K123" s="200" t="n"/>
      <c r="L123" s="200" t="n"/>
      <c r="M123" s="200" t="n"/>
      <c r="N123" s="200" t="n"/>
      <c r="O123" s="200" t="n"/>
      <c r="P123" s="200" t="n"/>
      <c r="Q123" s="200" t="n"/>
      <c r="R123" s="200" t="n"/>
      <c r="S123" s="200" t="n"/>
      <c r="T123" s="200" t="n"/>
      <c r="U123" s="200" t="n"/>
      <c r="V123" s="200" t="n"/>
      <c r="W123" s="69" t="n"/>
      <c r="X123" s="69" t="n"/>
    </row>
    <row r="124" s="1">
      <c r="A124" s="52" t="n">
        <v>2</v>
      </c>
      <c r="B124" s="200" t="n"/>
      <c r="C124" s="200" t="n"/>
      <c r="D124" s="200" t="n"/>
      <c r="E124" s="200" t="n"/>
      <c r="F124" s="200" t="n"/>
      <c r="G124" s="200" t="n"/>
      <c r="H124" s="200" t="n"/>
      <c r="I124" s="200" t="n"/>
      <c r="J124" s="200" t="n"/>
      <c r="K124" s="200" t="n"/>
      <c r="L124" s="200" t="n"/>
      <c r="M124" s="200" t="n"/>
      <c r="N124" s="200" t="n"/>
      <c r="O124" s="200" t="n"/>
      <c r="P124" s="200" t="n"/>
      <c r="Q124" s="200" t="n"/>
      <c r="R124" s="200" t="n"/>
      <c r="S124" s="200" t="n"/>
      <c r="T124" s="200" t="n"/>
      <c r="U124" s="200" t="n"/>
      <c r="V124" s="200" t="n"/>
      <c r="W124" s="69" t="n"/>
      <c r="X124" s="69" t="n"/>
    </row>
    <row r="125" s="1">
      <c r="A125" s="52" t="n">
        <v>3</v>
      </c>
      <c r="B125" s="200" t="n"/>
      <c r="C125" s="200" t="n"/>
      <c r="D125" s="200" t="n"/>
      <c r="E125" s="200" t="n"/>
      <c r="F125" s="200" t="n"/>
      <c r="G125" s="200" t="n"/>
      <c r="H125" s="200" t="n"/>
      <c r="I125" s="200" t="n"/>
      <c r="J125" s="200" t="n"/>
      <c r="K125" s="200" t="n"/>
      <c r="L125" s="200" t="n"/>
      <c r="M125" s="200" t="n"/>
      <c r="N125" s="200" t="n"/>
      <c r="O125" s="200" t="n"/>
      <c r="P125" s="200" t="n"/>
      <c r="Q125" s="200" t="n"/>
      <c r="R125" s="200" t="n"/>
      <c r="S125" s="200" t="n"/>
      <c r="T125" s="200" t="n"/>
      <c r="U125" s="200" t="n"/>
      <c r="V125" s="200" t="n"/>
      <c r="W125" s="69" t="n"/>
      <c r="X125" s="69" t="n"/>
    </row>
    <row r="126" s="1">
      <c r="A126" s="52" t="n">
        <v>4</v>
      </c>
      <c r="B126" s="200" t="n"/>
      <c r="C126" s="200" t="n"/>
      <c r="D126" s="200" t="n"/>
      <c r="E126" s="200" t="n"/>
      <c r="F126" s="200" t="n"/>
      <c r="G126" s="200" t="n"/>
      <c r="H126" s="200" t="n"/>
      <c r="I126" s="200" t="n"/>
      <c r="J126" s="200" t="n"/>
      <c r="K126" s="200" t="n"/>
      <c r="L126" s="200" t="n"/>
      <c r="M126" s="200" t="n"/>
      <c r="N126" s="200" t="n"/>
      <c r="O126" s="200" t="n"/>
      <c r="P126" s="200" t="n"/>
      <c r="Q126" s="200" t="n"/>
      <c r="R126" s="200" t="n"/>
      <c r="S126" s="200" t="n"/>
      <c r="T126" s="200" t="n"/>
      <c r="U126" s="200" t="n"/>
      <c r="V126" s="200" t="n"/>
      <c r="W126" s="69" t="n"/>
      <c r="X126" s="69" t="n"/>
    </row>
    <row r="127" s="1">
      <c r="A127" s="52" t="n">
        <v>5</v>
      </c>
      <c r="B127" s="200" t="n"/>
      <c r="C127" s="200" t="n"/>
      <c r="D127" s="200" t="n"/>
      <c r="E127" s="200" t="n"/>
      <c r="F127" s="200" t="n"/>
      <c r="G127" s="200" t="n"/>
      <c r="H127" s="200" t="n"/>
      <c r="I127" s="200" t="n"/>
      <c r="J127" s="200" t="n"/>
      <c r="K127" s="200" t="n"/>
      <c r="L127" s="200" t="n"/>
      <c r="M127" s="200" t="n"/>
      <c r="N127" s="200" t="n"/>
      <c r="O127" s="200" t="n"/>
      <c r="P127" s="200" t="n"/>
      <c r="Q127" s="200" t="n"/>
      <c r="R127" s="200" t="n"/>
      <c r="S127" s="200" t="n"/>
      <c r="T127" s="200" t="n"/>
      <c r="U127" s="200" t="n"/>
      <c r="V127" s="200" t="n"/>
      <c r="W127" s="69" t="n"/>
      <c r="X127" s="69" t="n"/>
    </row>
    <row r="128" s="1">
      <c r="A128" s="52" t="n">
        <v>6</v>
      </c>
      <c r="B128" s="200" t="n"/>
      <c r="C128" s="200" t="n"/>
      <c r="D128" s="200" t="n"/>
      <c r="E128" s="200" t="n"/>
      <c r="F128" s="200" t="n"/>
      <c r="G128" s="200" t="n"/>
      <c r="H128" s="200" t="n"/>
      <c r="I128" s="200" t="n"/>
      <c r="J128" s="200" t="n"/>
      <c r="K128" s="200" t="n"/>
      <c r="L128" s="200" t="n"/>
      <c r="M128" s="200" t="n"/>
      <c r="N128" s="200" t="n"/>
      <c r="O128" s="200" t="n"/>
      <c r="P128" s="200" t="n"/>
      <c r="Q128" s="200" t="n"/>
      <c r="R128" s="200" t="n"/>
      <c r="S128" s="200" t="n"/>
      <c r="T128" s="200" t="n"/>
      <c r="U128" s="200" t="n"/>
      <c r="V128" s="200" t="n"/>
      <c r="W128" s="69" t="n"/>
      <c r="X128" s="69" t="n"/>
    </row>
    <row r="129" s="1">
      <c r="A129" s="52" t="n">
        <v>7</v>
      </c>
      <c r="B129" s="200" t="n"/>
      <c r="C129" s="200" t="n"/>
      <c r="D129" s="200" t="n"/>
      <c r="E129" s="200" t="n"/>
      <c r="F129" s="200" t="n"/>
      <c r="G129" s="200" t="n"/>
      <c r="H129" s="200" t="n"/>
      <c r="I129" s="200" t="n"/>
      <c r="J129" s="200" t="n"/>
      <c r="K129" s="200" t="n"/>
      <c r="L129" s="200" t="n"/>
      <c r="M129" s="200" t="n"/>
      <c r="N129" s="200" t="n"/>
      <c r="O129" s="200" t="n"/>
      <c r="P129" s="200" t="n"/>
      <c r="Q129" s="200" t="n"/>
      <c r="R129" s="200" t="n"/>
      <c r="S129" s="200" t="n"/>
      <c r="T129" s="200" t="n"/>
      <c r="U129" s="200" t="n"/>
      <c r="V129" s="200" t="n"/>
      <c r="W129" s="69" t="n"/>
      <c r="X129" s="69" t="n"/>
    </row>
    <row r="130" s="1">
      <c r="A130" s="52" t="n">
        <v>8</v>
      </c>
      <c r="B130" s="200" t="n"/>
      <c r="C130" s="200" t="n"/>
      <c r="D130" s="200" t="n"/>
      <c r="E130" s="200" t="n"/>
      <c r="F130" s="200" t="n"/>
      <c r="G130" s="200" t="n"/>
      <c r="H130" s="200" t="n"/>
      <c r="I130" s="200" t="n"/>
      <c r="J130" s="200" t="n"/>
      <c r="K130" s="200" t="n"/>
      <c r="L130" s="200" t="n"/>
      <c r="M130" s="200" t="n"/>
      <c r="N130" s="200" t="n"/>
      <c r="O130" s="200" t="n"/>
      <c r="P130" s="200" t="n"/>
      <c r="Q130" s="200" t="n"/>
      <c r="R130" s="200" t="n"/>
      <c r="S130" s="200" t="n"/>
      <c r="T130" s="200" t="n"/>
      <c r="U130" s="200" t="n"/>
      <c r="V130" s="200" t="n"/>
      <c r="W130" s="69" t="n"/>
      <c r="X130" s="69" t="n"/>
    </row>
    <row r="131" s="1">
      <c r="A131" s="52" t="n">
        <v>9</v>
      </c>
      <c r="B131" s="200" t="n"/>
      <c r="C131" s="200" t="n"/>
      <c r="D131" s="200" t="n"/>
      <c r="E131" s="200" t="n"/>
      <c r="F131" s="200" t="n"/>
      <c r="G131" s="200" t="n"/>
      <c r="H131" s="200" t="n"/>
      <c r="I131" s="200" t="n"/>
      <c r="J131" s="200" t="n"/>
      <c r="K131" s="200" t="n"/>
      <c r="L131" s="200" t="n"/>
      <c r="M131" s="200" t="n"/>
      <c r="N131" s="200" t="n"/>
      <c r="O131" s="200" t="n"/>
      <c r="P131" s="200" t="n"/>
      <c r="Q131" s="200" t="n"/>
      <c r="R131" s="200" t="n"/>
      <c r="S131" s="200" t="n"/>
      <c r="T131" s="200" t="n"/>
      <c r="U131" s="200" t="n"/>
      <c r="V131" s="200" t="n"/>
      <c r="W131" s="69" t="n"/>
      <c r="X131" s="69" t="n"/>
    </row>
    <row r="132" s="1">
      <c r="A132" s="52" t="n">
        <v>10</v>
      </c>
      <c r="B132" s="200" t="n"/>
      <c r="C132" s="200" t="n"/>
      <c r="D132" s="200" t="n"/>
      <c r="E132" s="200" t="n"/>
      <c r="F132" s="200" t="n"/>
      <c r="G132" s="200" t="n"/>
      <c r="H132" s="200" t="n"/>
      <c r="I132" s="200" t="n"/>
      <c r="J132" s="200" t="n"/>
      <c r="K132" s="200" t="n"/>
      <c r="L132" s="200" t="n"/>
      <c r="M132" s="200" t="n"/>
      <c r="N132" s="200" t="n"/>
      <c r="O132" s="200" t="n"/>
      <c r="P132" s="200" t="n"/>
      <c r="Q132" s="200" t="n"/>
      <c r="R132" s="200" t="n"/>
      <c r="S132" s="200" t="n"/>
      <c r="T132" s="200" t="n"/>
      <c r="U132" s="200" t="n"/>
      <c r="V132" s="200" t="n"/>
      <c r="W132" s="69" t="n"/>
      <c r="X132" s="69" t="n"/>
    </row>
    <row r="133" s="1">
      <c r="A133" s="52" t="n">
        <v>11</v>
      </c>
      <c r="B133" s="200" t="n"/>
      <c r="C133" s="200" t="n"/>
      <c r="D133" s="200" t="n"/>
      <c r="E133" s="200" t="n"/>
      <c r="F133" s="200" t="n"/>
      <c r="G133" s="200" t="n"/>
      <c r="H133" s="200" t="n"/>
      <c r="I133" s="200" t="n"/>
      <c r="J133" s="200" t="n"/>
      <c r="K133" s="200" t="n"/>
      <c r="L133" s="200" t="n"/>
      <c r="M133" s="200" t="n"/>
      <c r="N133" s="200" t="n"/>
      <c r="O133" s="200" t="n"/>
      <c r="P133" s="200" t="n"/>
      <c r="Q133" s="200" t="n"/>
      <c r="R133" s="200" t="n"/>
      <c r="S133" s="200" t="n"/>
      <c r="T133" s="200" t="n"/>
      <c r="U133" s="200" t="n"/>
      <c r="V133" s="200" t="n"/>
      <c r="W133" s="69" t="n"/>
      <c r="X133" s="69" t="n"/>
    </row>
    <row r="134" s="1">
      <c r="A134" s="52" t="n">
        <v>12</v>
      </c>
      <c r="B134" s="200" t="n"/>
      <c r="C134" s="200" t="n"/>
      <c r="D134" s="200" t="n"/>
      <c r="E134" s="200" t="n"/>
      <c r="F134" s="200" t="n"/>
      <c r="G134" s="200" t="n"/>
      <c r="H134" s="200" t="n"/>
      <c r="I134" s="200" t="n"/>
      <c r="J134" s="200" t="n"/>
      <c r="K134" s="200" t="n"/>
      <c r="L134" s="200" t="n"/>
      <c r="M134" s="200" t="n"/>
      <c r="N134" s="200" t="n"/>
      <c r="O134" s="200" t="n"/>
      <c r="P134" s="200" t="n"/>
      <c r="Q134" s="200" t="n"/>
      <c r="R134" s="200" t="n"/>
      <c r="S134" s="200" t="n"/>
      <c r="T134" s="200" t="n"/>
      <c r="U134" s="200" t="n"/>
      <c r="V134" s="200" t="n"/>
      <c r="W134" s="69" t="n"/>
      <c r="X134" s="69" t="n"/>
    </row>
    <row r="135" s="1">
      <c r="A135" s="52" t="n">
        <v>13</v>
      </c>
      <c r="B135" s="200" t="n"/>
      <c r="C135" s="200" t="n"/>
      <c r="D135" s="200" t="n"/>
      <c r="E135" s="200" t="n"/>
      <c r="F135" s="200" t="n"/>
      <c r="G135" s="200" t="n"/>
      <c r="H135" s="200" t="n"/>
      <c r="I135" s="200" t="n"/>
      <c r="J135" s="200" t="n"/>
      <c r="K135" s="200" t="n"/>
      <c r="L135" s="200" t="n"/>
      <c r="M135" s="200" t="n"/>
      <c r="N135" s="200" t="n"/>
      <c r="O135" s="200" t="n"/>
      <c r="P135" s="200" t="n"/>
      <c r="Q135" s="200" t="n"/>
      <c r="R135" s="200" t="n"/>
      <c r="S135" s="200" t="n"/>
      <c r="T135" s="200" t="n"/>
      <c r="U135" s="200" t="n"/>
      <c r="V135" s="200" t="n"/>
      <c r="W135" s="69" t="n"/>
      <c r="X135" s="69" t="n"/>
    </row>
    <row r="136" s="1">
      <c r="A136" s="52" t="n">
        <v>14</v>
      </c>
      <c r="B136" s="200" t="n"/>
      <c r="C136" s="200" t="n"/>
      <c r="D136" s="200" t="n"/>
      <c r="E136" s="200" t="n"/>
      <c r="F136" s="200" t="n"/>
      <c r="G136" s="200" t="n"/>
      <c r="H136" s="200" t="n"/>
      <c r="I136" s="200" t="n"/>
      <c r="J136" s="200" t="n"/>
      <c r="K136" s="200" t="n"/>
      <c r="L136" s="200" t="n"/>
      <c r="M136" s="200" t="n"/>
      <c r="N136" s="200" t="n"/>
      <c r="O136" s="200" t="n"/>
      <c r="P136" s="200" t="n"/>
      <c r="Q136" s="200" t="n"/>
      <c r="R136" s="200" t="n"/>
      <c r="S136" s="200" t="n"/>
      <c r="T136" s="200" t="n"/>
      <c r="U136" s="200" t="n"/>
      <c r="V136" s="200" t="n"/>
      <c r="W136" s="69" t="n"/>
      <c r="X136" s="69" t="n"/>
    </row>
    <row r="137" s="1">
      <c r="A137" s="52" t="n">
        <v>15</v>
      </c>
      <c r="B137" s="200" t="n"/>
      <c r="C137" s="200" t="n"/>
      <c r="D137" s="200" t="n"/>
      <c r="E137" s="200" t="n"/>
      <c r="F137" s="200" t="n"/>
      <c r="G137" s="200" t="n"/>
      <c r="H137" s="200" t="n"/>
      <c r="I137" s="200" t="n"/>
      <c r="J137" s="200" t="n"/>
      <c r="K137" s="200" t="n"/>
      <c r="L137" s="200" t="n"/>
      <c r="M137" s="200" t="n"/>
      <c r="N137" s="200" t="n"/>
      <c r="O137" s="200" t="n"/>
      <c r="P137" s="200" t="n"/>
      <c r="Q137" s="200" t="n"/>
      <c r="R137" s="200" t="n"/>
      <c r="S137" s="200" t="n"/>
      <c r="T137" s="200" t="n"/>
      <c r="U137" s="200" t="n"/>
      <c r="V137" s="200" t="n"/>
      <c r="W137" s="69" t="n"/>
      <c r="X137" s="69" t="n"/>
    </row>
    <row r="138" s="1">
      <c r="A138" s="52" t="n">
        <v>16</v>
      </c>
      <c r="B138" s="200" t="n"/>
      <c r="C138" s="200" t="n"/>
      <c r="D138" s="200" t="n"/>
      <c r="E138" s="200" t="n"/>
      <c r="F138" s="200" t="n"/>
      <c r="G138" s="200" t="n"/>
      <c r="H138" s="200" t="n"/>
      <c r="I138" s="200" t="n"/>
      <c r="J138" s="200" t="n"/>
      <c r="K138" s="200" t="n"/>
      <c r="L138" s="200" t="n"/>
      <c r="M138" s="200" t="n"/>
      <c r="N138" s="200" t="n"/>
      <c r="O138" s="200" t="n"/>
      <c r="P138" s="200" t="n"/>
      <c r="Q138" s="200" t="n"/>
      <c r="R138" s="200" t="n"/>
      <c r="S138" s="200" t="n"/>
      <c r="T138" s="200" t="n"/>
      <c r="U138" s="200" t="n"/>
      <c r="V138" s="200" t="n"/>
      <c r="W138" s="69" t="n"/>
      <c r="X138" s="69" t="n"/>
    </row>
    <row r="139" s="1">
      <c r="A139" s="52" t="n">
        <v>17</v>
      </c>
      <c r="B139" s="200" t="n"/>
      <c r="C139" s="200" t="n"/>
      <c r="D139" s="200" t="n"/>
      <c r="E139" s="200" t="n"/>
      <c r="F139" s="200" t="n"/>
      <c r="G139" s="200" t="n"/>
      <c r="H139" s="200" t="n"/>
      <c r="I139" s="200" t="n"/>
      <c r="J139" s="200" t="n"/>
      <c r="K139" s="200" t="n"/>
      <c r="L139" s="200" t="n"/>
      <c r="M139" s="200" t="n"/>
      <c r="N139" s="200" t="n"/>
      <c r="O139" s="200" t="n"/>
      <c r="P139" s="200" t="n"/>
      <c r="Q139" s="200" t="n"/>
      <c r="R139" s="200" t="n"/>
      <c r="S139" s="200" t="n"/>
      <c r="T139" s="200" t="n"/>
      <c r="U139" s="200" t="n"/>
      <c r="V139" s="200" t="n"/>
      <c r="W139" s="69" t="n"/>
      <c r="X139" s="69" t="n"/>
    </row>
    <row r="140" s="1">
      <c r="A140" s="52" t="n">
        <v>18</v>
      </c>
      <c r="B140" s="200" t="n"/>
      <c r="C140" s="200" t="n"/>
      <c r="D140" s="200" t="n"/>
      <c r="E140" s="200" t="n"/>
      <c r="F140" s="200" t="n"/>
      <c r="G140" s="200" t="n"/>
      <c r="H140" s="200" t="n"/>
      <c r="I140" s="200" t="n"/>
      <c r="J140" s="200" t="n"/>
      <c r="K140" s="200" t="n"/>
      <c r="L140" s="200" t="n"/>
      <c r="M140" s="200" t="n"/>
      <c r="N140" s="200" t="n"/>
      <c r="O140" s="200" t="n"/>
      <c r="P140" s="200" t="n"/>
      <c r="Q140" s="200" t="n"/>
      <c r="R140" s="200" t="n"/>
      <c r="S140" s="200" t="n"/>
      <c r="T140" s="200" t="n"/>
      <c r="U140" s="200" t="n"/>
      <c r="V140" s="200" t="n"/>
      <c r="W140" s="69" t="n"/>
      <c r="X140" s="69" t="n"/>
    </row>
    <row r="141" s="1">
      <c r="A141" s="52" t="n">
        <v>19</v>
      </c>
      <c r="B141" s="200" t="n"/>
      <c r="C141" s="200" t="n"/>
      <c r="D141" s="200" t="n"/>
      <c r="E141" s="200" t="n"/>
      <c r="F141" s="200" t="n"/>
      <c r="G141" s="200" t="n"/>
      <c r="H141" s="200" t="n"/>
      <c r="I141" s="200" t="n"/>
      <c r="J141" s="200" t="n"/>
      <c r="K141" s="200" t="n"/>
      <c r="L141" s="200" t="n"/>
      <c r="M141" s="200" t="n"/>
      <c r="N141" s="200" t="n"/>
      <c r="O141" s="200" t="n"/>
      <c r="P141" s="200" t="n"/>
      <c r="Q141" s="200" t="n"/>
      <c r="R141" s="200" t="n"/>
      <c r="S141" s="200" t="n"/>
      <c r="T141" s="200" t="n"/>
      <c r="U141" s="200" t="n"/>
      <c r="V141" s="200" t="n"/>
      <c r="W141" s="69" t="n"/>
      <c r="X141" s="69" t="n"/>
    </row>
    <row r="142" s="1">
      <c r="A142" s="52" t="n">
        <v>20</v>
      </c>
      <c r="B142" s="200" t="n"/>
      <c r="C142" s="200" t="n"/>
      <c r="D142" s="200" t="n"/>
      <c r="E142" s="200" t="n"/>
      <c r="F142" s="200" t="n"/>
      <c r="G142" s="200" t="n"/>
      <c r="H142" s="200" t="n"/>
      <c r="I142" s="200" t="n"/>
      <c r="J142" s="200" t="n"/>
      <c r="K142" s="200" t="n"/>
      <c r="L142" s="200" t="n"/>
      <c r="M142" s="200" t="n"/>
      <c r="N142" s="200" t="n"/>
      <c r="O142" s="200" t="n"/>
      <c r="P142" s="200" t="n"/>
      <c r="Q142" s="200" t="n"/>
      <c r="R142" s="200" t="n"/>
      <c r="S142" s="200" t="n"/>
      <c r="T142" s="200" t="n"/>
      <c r="U142" s="200" t="n"/>
      <c r="V142" s="200" t="n"/>
      <c r="W142" s="69" t="n"/>
      <c r="X142" s="69" t="n"/>
    </row>
    <row r="143" s="1">
      <c r="A143" s="52" t="n">
        <v>21</v>
      </c>
      <c r="B143" s="200" t="n"/>
      <c r="C143" s="200" t="n"/>
      <c r="D143" s="200" t="n"/>
      <c r="E143" s="200" t="n"/>
      <c r="F143" s="200" t="n"/>
      <c r="G143" s="200" t="n"/>
      <c r="H143" s="200" t="n"/>
      <c r="I143" s="200" t="n"/>
      <c r="J143" s="200" t="n"/>
      <c r="K143" s="200" t="n"/>
      <c r="L143" s="200" t="n"/>
      <c r="M143" s="200" t="n"/>
      <c r="N143" s="200" t="n"/>
      <c r="O143" s="200" t="n"/>
      <c r="P143" s="200" t="n"/>
      <c r="Q143" s="200" t="n"/>
      <c r="R143" s="200" t="n"/>
      <c r="S143" s="200" t="n"/>
      <c r="T143" s="200" t="n"/>
      <c r="U143" s="200" t="n"/>
      <c r="V143" s="200" t="n"/>
      <c r="W143" s="69" t="n"/>
      <c r="X143" s="69" t="n"/>
    </row>
    <row r="144" s="1">
      <c r="A144" s="52" t="n">
        <v>22</v>
      </c>
      <c r="B144" s="200" t="n"/>
      <c r="C144" s="200" t="n"/>
      <c r="D144" s="200" t="n"/>
      <c r="E144" s="200" t="n"/>
      <c r="F144" s="200" t="n"/>
      <c r="G144" s="200" t="n"/>
      <c r="H144" s="200" t="n"/>
      <c r="I144" s="200" t="n"/>
      <c r="J144" s="200" t="n"/>
      <c r="K144" s="200" t="n"/>
      <c r="L144" s="200" t="n"/>
      <c r="M144" s="200" t="n"/>
      <c r="N144" s="200" t="n"/>
      <c r="O144" s="200" t="n"/>
      <c r="P144" s="200" t="n"/>
      <c r="Q144" s="200" t="n"/>
      <c r="R144" s="200" t="n"/>
      <c r="S144" s="200" t="n"/>
      <c r="T144" s="200" t="n"/>
      <c r="U144" s="200" t="n"/>
      <c r="V144" s="200" t="n"/>
      <c r="W144" s="69" t="n"/>
      <c r="X144" s="69" t="n"/>
    </row>
    <row r="145" s="1">
      <c r="A145" s="52" t="n">
        <v>23</v>
      </c>
      <c r="B145" s="200" t="n"/>
      <c r="C145" s="200" t="n"/>
      <c r="D145" s="200" t="n"/>
      <c r="E145" s="200" t="n"/>
      <c r="F145" s="200" t="n"/>
      <c r="G145" s="200" t="n"/>
      <c r="H145" s="200" t="n"/>
      <c r="I145" s="200" t="n"/>
      <c r="J145" s="200" t="n"/>
      <c r="K145" s="200" t="n"/>
      <c r="L145" s="200" t="n"/>
      <c r="M145" s="200" t="n"/>
      <c r="N145" s="200" t="n"/>
      <c r="O145" s="200" t="n"/>
      <c r="P145" s="200" t="n"/>
      <c r="Q145" s="200" t="n"/>
      <c r="R145" s="200" t="n"/>
      <c r="S145" s="200" t="n"/>
      <c r="T145" s="200" t="n"/>
      <c r="U145" s="200" t="n"/>
      <c r="V145" s="200" t="n"/>
      <c r="W145" s="69" t="n"/>
      <c r="X145" s="69" t="n"/>
    </row>
    <row r="146" s="1">
      <c r="A146" s="52" t="n">
        <v>24</v>
      </c>
      <c r="B146" s="200" t="n"/>
      <c r="C146" s="200" t="n"/>
      <c r="D146" s="200" t="n"/>
      <c r="E146" s="200" t="n"/>
      <c r="F146" s="200" t="n"/>
      <c r="G146" s="200" t="n"/>
      <c r="H146" s="200" t="n"/>
      <c r="I146" s="200" t="n"/>
      <c r="J146" s="200" t="n"/>
      <c r="K146" s="200" t="n"/>
      <c r="L146" s="200" t="n"/>
      <c r="M146" s="200" t="n"/>
      <c r="N146" s="200" t="n"/>
      <c r="O146" s="200" t="n"/>
      <c r="P146" s="200" t="n"/>
      <c r="Q146" s="200" t="n"/>
      <c r="R146" s="200" t="n"/>
      <c r="S146" s="200" t="n"/>
      <c r="T146" s="200" t="n"/>
      <c r="U146" s="200" t="n"/>
      <c r="V146" s="200" t="n"/>
      <c r="W146" s="69" t="n"/>
      <c r="X146" s="69" t="n"/>
    </row>
    <row r="147" s="1">
      <c r="A147" s="52" t="n">
        <v>25</v>
      </c>
      <c r="B147" s="200" t="n"/>
      <c r="C147" s="200" t="n"/>
      <c r="D147" s="200" t="n"/>
      <c r="E147" s="200" t="n"/>
      <c r="F147" s="200" t="n"/>
      <c r="G147" s="200" t="n"/>
      <c r="H147" s="200" t="n"/>
      <c r="I147" s="200" t="n"/>
      <c r="J147" s="200" t="n"/>
      <c r="K147" s="200" t="n"/>
      <c r="L147" s="200" t="n"/>
      <c r="M147" s="200" t="n"/>
      <c r="N147" s="200" t="n"/>
      <c r="O147" s="200" t="n"/>
      <c r="P147" s="200" t="n"/>
      <c r="Q147" s="200" t="n"/>
      <c r="R147" s="200" t="n"/>
      <c r="S147" s="200" t="n"/>
      <c r="T147" s="200" t="n"/>
      <c r="U147" s="200" t="n"/>
      <c r="V147" s="200" t="n"/>
      <c r="W147" s="69" t="n"/>
      <c r="X147" s="69" t="n"/>
    </row>
    <row r="148" s="1">
      <c r="A148" s="52" t="n">
        <v>26</v>
      </c>
      <c r="B148" s="200" t="n"/>
      <c r="C148" s="200" t="n"/>
      <c r="D148" s="200" t="n"/>
      <c r="E148" s="200" t="n"/>
      <c r="F148" s="200" t="n"/>
      <c r="G148" s="200" t="n"/>
      <c r="H148" s="200" t="n"/>
      <c r="I148" s="200" t="n"/>
      <c r="J148" s="200" t="n"/>
      <c r="K148" s="200" t="n"/>
      <c r="L148" s="200" t="n"/>
      <c r="M148" s="200" t="n"/>
      <c r="N148" s="200" t="n"/>
      <c r="O148" s="200" t="n"/>
      <c r="P148" s="200" t="n"/>
      <c r="Q148" s="200" t="n"/>
      <c r="R148" s="200" t="n"/>
      <c r="S148" s="200" t="n"/>
      <c r="T148" s="200" t="n"/>
      <c r="U148" s="200" t="n"/>
      <c r="V148" s="200" t="n"/>
      <c r="W148" s="69" t="n"/>
      <c r="X148" s="69" t="n"/>
    </row>
    <row r="149" s="1">
      <c r="A149" s="52" t="n">
        <v>27</v>
      </c>
      <c r="B149" s="200" t="n"/>
      <c r="C149" s="200" t="n"/>
      <c r="D149" s="200" t="n"/>
      <c r="E149" s="200" t="n"/>
      <c r="F149" s="200" t="n"/>
      <c r="G149" s="200" t="n"/>
      <c r="H149" s="200" t="n"/>
      <c r="I149" s="200" t="n"/>
      <c r="J149" s="200" t="n"/>
      <c r="K149" s="200" t="n"/>
      <c r="L149" s="200" t="n"/>
      <c r="M149" s="200" t="n"/>
      <c r="N149" s="200" t="n"/>
      <c r="O149" s="200" t="n"/>
      <c r="P149" s="200" t="n"/>
      <c r="Q149" s="200" t="n"/>
      <c r="R149" s="200" t="n"/>
      <c r="S149" s="200" t="n"/>
      <c r="T149" s="200" t="n"/>
      <c r="U149" s="200" t="n"/>
      <c r="V149" s="200" t="n"/>
      <c r="W149" s="69" t="n"/>
      <c r="X149" s="69" t="n"/>
    </row>
    <row r="150" s="1">
      <c r="A150" s="52" t="n">
        <v>28</v>
      </c>
      <c r="B150" s="200" t="n"/>
      <c r="C150" s="200" t="n"/>
      <c r="D150" s="200" t="n"/>
      <c r="E150" s="200" t="n"/>
      <c r="F150" s="200" t="n"/>
      <c r="G150" s="200" t="n"/>
      <c r="H150" s="200" t="n"/>
      <c r="I150" s="200" t="n"/>
      <c r="J150" s="200" t="n"/>
      <c r="K150" s="200" t="n"/>
      <c r="L150" s="200" t="n"/>
      <c r="M150" s="200" t="n"/>
      <c r="N150" s="200" t="n"/>
      <c r="O150" s="200" t="n"/>
      <c r="P150" s="200" t="n"/>
      <c r="Q150" s="200" t="n"/>
      <c r="R150" s="200" t="n"/>
      <c r="S150" s="200" t="n"/>
      <c r="T150" s="200" t="n"/>
      <c r="U150" s="200" t="n"/>
      <c r="V150" s="200" t="n"/>
      <c r="W150" s="69" t="n"/>
      <c r="X150" s="69" t="n"/>
    </row>
    <row r="151" s="1">
      <c r="A151" s="52" t="n">
        <v>29</v>
      </c>
      <c r="B151" s="200" t="n"/>
      <c r="C151" s="200" t="n"/>
      <c r="D151" s="200" t="n"/>
      <c r="E151" s="200" t="n"/>
      <c r="F151" s="200" t="n"/>
      <c r="G151" s="200" t="n"/>
      <c r="H151" s="200" t="n"/>
      <c r="I151" s="200" t="n"/>
      <c r="J151" s="200" t="n"/>
      <c r="K151" s="200" t="n"/>
      <c r="L151" s="200" t="n"/>
      <c r="M151" s="200" t="n"/>
      <c r="N151" s="200" t="n"/>
      <c r="O151" s="200" t="n"/>
      <c r="P151" s="200" t="n"/>
      <c r="Q151" s="200" t="n"/>
      <c r="R151" s="200" t="n"/>
      <c r="S151" s="200" t="n"/>
      <c r="T151" s="200" t="n"/>
      <c r="U151" s="200" t="n"/>
      <c r="V151" s="200" t="n"/>
      <c r="W151" s="69" t="n"/>
      <c r="X151" s="69" t="n"/>
    </row>
    <row r="152" s="1">
      <c r="A152" s="52" t="n">
        <v>30</v>
      </c>
      <c r="B152" s="200" t="n"/>
      <c r="C152" s="200" t="n"/>
      <c r="D152" s="200" t="n"/>
      <c r="E152" s="200" t="n"/>
      <c r="F152" s="200" t="n"/>
      <c r="G152" s="200" t="n"/>
      <c r="H152" s="200" t="n"/>
      <c r="I152" s="200" t="n"/>
      <c r="J152" s="200" t="n"/>
      <c r="K152" s="200" t="n"/>
      <c r="L152" s="200" t="n"/>
      <c r="M152" s="200" t="n"/>
      <c r="N152" s="200" t="n"/>
      <c r="O152" s="200" t="n"/>
      <c r="P152" s="200" t="n"/>
      <c r="Q152" s="200" t="n"/>
      <c r="R152" s="200" t="n"/>
      <c r="S152" s="200" t="n"/>
      <c r="T152" s="200" t="n"/>
      <c r="U152" s="200" t="n"/>
      <c r="V152" s="200" t="n"/>
      <c r="W152" s="69" t="n"/>
      <c r="X152" s="69" t="n"/>
    </row>
    <row r="153" s="1">
      <c r="A153" s="52" t="n">
        <v>31</v>
      </c>
      <c r="B153" s="200" t="n"/>
      <c r="C153" s="200" t="n"/>
      <c r="D153" s="200" t="n"/>
      <c r="E153" s="200" t="n"/>
      <c r="F153" s="200" t="n"/>
      <c r="G153" s="200" t="n"/>
      <c r="H153" s="200" t="n"/>
      <c r="I153" s="200" t="n"/>
      <c r="J153" s="200" t="n"/>
      <c r="K153" s="200" t="n"/>
      <c r="L153" s="200" t="n"/>
      <c r="M153" s="200" t="n"/>
      <c r="N153" s="200" t="n"/>
      <c r="O153" s="200" t="n"/>
      <c r="P153" s="200" t="n"/>
      <c r="Q153" s="200" t="n"/>
      <c r="R153" s="200" t="n"/>
      <c r="S153" s="200" t="n"/>
      <c r="T153" s="200" t="n"/>
      <c r="U153" s="200" t="n"/>
      <c r="V153" s="200" t="n"/>
      <c r="W153" s="69" t="n"/>
      <c r="X153" s="69" t="n"/>
    </row>
    <row r="154" s="1">
      <c r="A154" s="52" t="n">
        <v>32</v>
      </c>
      <c r="B154" s="200" t="n"/>
      <c r="C154" s="200" t="n"/>
      <c r="D154" s="200" t="n"/>
      <c r="E154" s="200" t="n"/>
      <c r="F154" s="200" t="n"/>
      <c r="G154" s="200" t="n"/>
      <c r="H154" s="200" t="n"/>
      <c r="I154" s="200" t="n"/>
      <c r="J154" s="200" t="n"/>
      <c r="K154" s="200" t="n"/>
      <c r="L154" s="200" t="n"/>
      <c r="M154" s="200" t="n"/>
      <c r="N154" s="200" t="n"/>
      <c r="O154" s="200" t="n"/>
      <c r="P154" s="200" t="n"/>
      <c r="Q154" s="200" t="n"/>
      <c r="R154" s="200" t="n"/>
      <c r="S154" s="200" t="n"/>
      <c r="T154" s="200" t="n"/>
      <c r="U154" s="200" t="n"/>
      <c r="V154" s="200" t="n"/>
      <c r="W154" s="69" t="n"/>
      <c r="X154" s="69" t="n"/>
    </row>
    <row r="155" s="1">
      <c r="A155" s="52" t="n">
        <v>33</v>
      </c>
      <c r="B155" s="200" t="n"/>
      <c r="C155" s="200" t="n"/>
      <c r="D155" s="200" t="n"/>
      <c r="E155" s="200" t="n"/>
      <c r="F155" s="200" t="n"/>
      <c r="G155" s="200" t="n"/>
      <c r="H155" s="200" t="n"/>
      <c r="I155" s="200" t="n"/>
      <c r="J155" s="200" t="n"/>
      <c r="K155" s="200" t="n"/>
      <c r="L155" s="200" t="n"/>
      <c r="M155" s="200" t="n"/>
      <c r="N155" s="200" t="n"/>
      <c r="O155" s="200" t="n"/>
      <c r="P155" s="200" t="n"/>
      <c r="Q155" s="200" t="n"/>
      <c r="R155" s="200" t="n"/>
      <c r="S155" s="200" t="n"/>
      <c r="T155" s="200" t="n"/>
      <c r="U155" s="200" t="n"/>
      <c r="V155" s="200" t="n"/>
      <c r="W155" s="69" t="n"/>
      <c r="X155" s="69" t="n"/>
    </row>
    <row r="156" s="1">
      <c r="A156" s="52" t="n">
        <v>34</v>
      </c>
      <c r="B156" s="200" t="n"/>
      <c r="C156" s="200" t="n"/>
      <c r="D156" s="200" t="n"/>
      <c r="E156" s="200" t="n"/>
      <c r="F156" s="200" t="n"/>
      <c r="G156" s="200" t="n"/>
      <c r="H156" s="200" t="n"/>
      <c r="I156" s="200" t="n"/>
      <c r="J156" s="200" t="n"/>
      <c r="K156" s="200" t="n"/>
      <c r="L156" s="200" t="n"/>
      <c r="M156" s="200" t="n"/>
      <c r="N156" s="200" t="n"/>
      <c r="O156" s="200" t="n"/>
      <c r="P156" s="200" t="n"/>
      <c r="Q156" s="200" t="n"/>
      <c r="R156" s="200" t="n"/>
      <c r="S156" s="200" t="n"/>
      <c r="T156" s="200" t="n"/>
      <c r="U156" s="200" t="n"/>
      <c r="V156" s="200" t="n"/>
      <c r="W156" s="69" t="n"/>
      <c r="X156" s="69" t="n"/>
    </row>
    <row r="157" s="1">
      <c r="A157" s="52" t="n">
        <v>35</v>
      </c>
      <c r="B157" s="200" t="n"/>
      <c r="C157" s="200" t="n"/>
      <c r="D157" s="200" t="n"/>
      <c r="E157" s="200" t="n"/>
      <c r="F157" s="200" t="n"/>
      <c r="G157" s="200" t="n"/>
      <c r="H157" s="200" t="n"/>
      <c r="I157" s="200" t="n"/>
      <c r="J157" s="200" t="n"/>
      <c r="K157" s="200" t="n"/>
      <c r="L157" s="200" t="n"/>
      <c r="M157" s="200" t="n"/>
      <c r="N157" s="200" t="n"/>
      <c r="O157" s="200" t="n"/>
      <c r="P157" s="200" t="n"/>
      <c r="Q157" s="200" t="n"/>
      <c r="R157" s="200" t="n"/>
      <c r="S157" s="200" t="n"/>
      <c r="T157" s="200" t="n"/>
      <c r="U157" s="200" t="n"/>
      <c r="V157" s="200" t="n"/>
      <c r="W157" s="69" t="n"/>
      <c r="X157" s="69" t="n"/>
    </row>
    <row r="158" s="1">
      <c r="A158" s="52" t="n">
        <v>36</v>
      </c>
      <c r="B158" s="200" t="n"/>
      <c r="C158" s="200" t="n"/>
      <c r="D158" s="200" t="n"/>
      <c r="E158" s="200" t="n"/>
      <c r="F158" s="200" t="n"/>
      <c r="G158" s="200" t="n"/>
      <c r="H158" s="200" t="n"/>
      <c r="I158" s="200" t="n"/>
      <c r="J158" s="200" t="n"/>
      <c r="K158" s="200" t="n"/>
      <c r="L158" s="200" t="n"/>
      <c r="M158" s="200" t="n"/>
      <c r="N158" s="200" t="n"/>
      <c r="O158" s="200" t="n"/>
      <c r="P158" s="200" t="n"/>
      <c r="Q158" s="200" t="n"/>
      <c r="R158" s="200" t="n"/>
      <c r="S158" s="200" t="n"/>
      <c r="T158" s="200" t="n"/>
      <c r="U158" s="200" t="n"/>
      <c r="V158" s="200" t="n"/>
      <c r="W158" s="69" t="n"/>
      <c r="X158" s="69" t="n"/>
    </row>
    <row r="159" s="1">
      <c r="A159" s="52" t="n">
        <v>37</v>
      </c>
      <c r="B159" s="200" t="n"/>
      <c r="C159" s="200" t="n"/>
      <c r="D159" s="200" t="n"/>
      <c r="E159" s="200" t="n"/>
      <c r="F159" s="200" t="n"/>
      <c r="G159" s="200" t="n"/>
      <c r="H159" s="200" t="n"/>
      <c r="I159" s="200" t="n"/>
      <c r="J159" s="200" t="n"/>
      <c r="K159" s="200" t="n"/>
      <c r="L159" s="200" t="n"/>
      <c r="M159" s="200" t="n"/>
      <c r="N159" s="200" t="n"/>
      <c r="O159" s="200" t="n"/>
      <c r="P159" s="200" t="n"/>
      <c r="Q159" s="200" t="n"/>
      <c r="R159" s="200" t="n"/>
      <c r="S159" s="200" t="n"/>
      <c r="T159" s="200" t="n"/>
      <c r="U159" s="200" t="n"/>
      <c r="V159" s="200" t="n"/>
      <c r="W159" s="69" t="n"/>
      <c r="X159" s="69" t="n"/>
    </row>
    <row r="160" s="1">
      <c r="A160" s="52" t="n">
        <v>38</v>
      </c>
      <c r="B160" s="200" t="n"/>
      <c r="C160" s="200" t="n"/>
      <c r="D160" s="200" t="n"/>
      <c r="E160" s="200" t="n"/>
      <c r="F160" s="200" t="n"/>
      <c r="G160" s="200" t="n"/>
      <c r="H160" s="200" t="n"/>
      <c r="I160" s="200" t="n"/>
      <c r="J160" s="200" t="n"/>
      <c r="K160" s="200" t="n"/>
      <c r="L160" s="200" t="n"/>
      <c r="M160" s="200" t="n"/>
      <c r="N160" s="200" t="n"/>
      <c r="O160" s="200" t="n"/>
      <c r="P160" s="200" t="n"/>
      <c r="Q160" s="200" t="n"/>
      <c r="R160" s="200" t="n"/>
      <c r="S160" s="200" t="n"/>
      <c r="T160" s="200" t="n"/>
      <c r="U160" s="200" t="n"/>
      <c r="V160" s="200" t="n"/>
      <c r="W160" s="69" t="n"/>
      <c r="X160" s="69" t="n"/>
    </row>
    <row r="161" s="1">
      <c r="A161" s="52" t="n">
        <v>39</v>
      </c>
      <c r="B161" s="200" t="n"/>
      <c r="C161" s="200" t="n"/>
      <c r="D161" s="200" t="n"/>
      <c r="E161" s="200" t="n"/>
      <c r="F161" s="200" t="n"/>
      <c r="G161" s="200" t="n"/>
      <c r="H161" s="200" t="n"/>
      <c r="I161" s="200" t="n"/>
      <c r="J161" s="200" t="n"/>
      <c r="K161" s="200" t="n"/>
      <c r="L161" s="200" t="n"/>
      <c r="M161" s="200" t="n"/>
      <c r="N161" s="200" t="n"/>
      <c r="O161" s="200" t="n"/>
      <c r="P161" s="200" t="n"/>
      <c r="Q161" s="200" t="n"/>
      <c r="R161" s="200" t="n"/>
      <c r="S161" s="200" t="n"/>
      <c r="T161" s="200" t="n"/>
      <c r="U161" s="200" t="n"/>
      <c r="V161" s="200" t="n"/>
      <c r="W161" s="69" t="n"/>
      <c r="X161" s="69" t="n"/>
    </row>
    <row r="162" s="1">
      <c r="A162" s="52" t="n">
        <v>40</v>
      </c>
      <c r="B162" s="200" t="n"/>
      <c r="C162" s="200" t="n"/>
      <c r="D162" s="200" t="n"/>
      <c r="E162" s="200" t="n"/>
      <c r="F162" s="200" t="n"/>
      <c r="G162" s="200" t="n"/>
      <c r="H162" s="200" t="n"/>
      <c r="I162" s="200" t="n"/>
      <c r="J162" s="200" t="n"/>
      <c r="K162" s="200" t="n"/>
      <c r="L162" s="200" t="n"/>
      <c r="M162" s="200" t="n"/>
      <c r="N162" s="200" t="n"/>
      <c r="O162" s="200" t="n"/>
      <c r="P162" s="200" t="n"/>
      <c r="Q162" s="200" t="n"/>
      <c r="R162" s="200" t="n"/>
      <c r="S162" s="200" t="n"/>
      <c r="T162" s="200" t="n"/>
      <c r="U162" s="200" t="n"/>
      <c r="V162" s="200" t="n"/>
      <c r="W162" s="69" t="n"/>
      <c r="X162" s="69" t="n"/>
    </row>
    <row r="163" s="1">
      <c r="A163" s="52" t="n">
        <v>41</v>
      </c>
      <c r="B163" s="200" t="n"/>
      <c r="C163" s="200" t="n"/>
      <c r="D163" s="200" t="n"/>
      <c r="E163" s="200" t="n"/>
      <c r="F163" s="200" t="n"/>
      <c r="G163" s="200" t="n"/>
      <c r="H163" s="200" t="n"/>
      <c r="I163" s="200" t="n"/>
      <c r="J163" s="200" t="n"/>
      <c r="K163" s="200" t="n"/>
      <c r="L163" s="200" t="n"/>
      <c r="M163" s="200" t="n"/>
      <c r="N163" s="200" t="n"/>
      <c r="O163" s="200" t="n"/>
      <c r="P163" s="200" t="n"/>
      <c r="Q163" s="200" t="n"/>
      <c r="R163" s="200" t="n"/>
      <c r="S163" s="200" t="n"/>
      <c r="T163" s="200" t="n"/>
      <c r="U163" s="200" t="n"/>
      <c r="V163" s="200" t="n"/>
      <c r="W163" s="69" t="n"/>
      <c r="X163" s="69" t="n"/>
    </row>
    <row r="164" s="1">
      <c r="A164" s="52" t="n">
        <v>42</v>
      </c>
      <c r="B164" s="200" t="n"/>
      <c r="C164" s="200" t="n"/>
      <c r="D164" s="200" t="n"/>
      <c r="E164" s="200" t="n"/>
      <c r="F164" s="200" t="n"/>
      <c r="G164" s="200" t="n"/>
      <c r="H164" s="200" t="n"/>
      <c r="I164" s="200" t="n"/>
      <c r="J164" s="200" t="n"/>
      <c r="K164" s="200" t="n"/>
      <c r="L164" s="200" t="n"/>
      <c r="M164" s="200" t="n"/>
      <c r="N164" s="200" t="n"/>
      <c r="O164" s="200" t="n"/>
      <c r="P164" s="200" t="n"/>
      <c r="Q164" s="200" t="n"/>
      <c r="R164" s="200" t="n"/>
      <c r="S164" s="200" t="n"/>
      <c r="T164" s="200" t="n"/>
      <c r="U164" s="200" t="n"/>
      <c r="V164" s="200" t="n"/>
      <c r="W164" s="69" t="n"/>
      <c r="X164" s="69" t="n"/>
    </row>
    <row r="165" s="1">
      <c r="A165" s="52" t="n">
        <v>43</v>
      </c>
      <c r="B165" s="200" t="n"/>
      <c r="C165" s="200" t="n"/>
      <c r="D165" s="200" t="n"/>
      <c r="E165" s="200" t="n"/>
      <c r="F165" s="200" t="n"/>
      <c r="G165" s="200" t="n"/>
      <c r="H165" s="200" t="n"/>
      <c r="I165" s="200" t="n"/>
      <c r="J165" s="200" t="n"/>
      <c r="K165" s="200" t="n"/>
      <c r="L165" s="200" t="n"/>
      <c r="M165" s="200" t="n"/>
      <c r="N165" s="200" t="n"/>
      <c r="O165" s="200" t="n"/>
      <c r="P165" s="200" t="n"/>
      <c r="Q165" s="200" t="n"/>
      <c r="R165" s="200" t="n"/>
      <c r="S165" s="200" t="n"/>
      <c r="T165" s="200" t="n"/>
      <c r="U165" s="200" t="n"/>
      <c r="V165" s="200" t="n"/>
      <c r="W165" s="69" t="n"/>
      <c r="X165" s="69" t="n"/>
    </row>
    <row r="166" s="1">
      <c r="A166" s="52" t="n">
        <v>44</v>
      </c>
      <c r="B166" s="200" t="n"/>
      <c r="C166" s="200" t="n"/>
      <c r="D166" s="200" t="n"/>
      <c r="E166" s="200" t="n"/>
      <c r="F166" s="200" t="n"/>
      <c r="G166" s="200" t="n"/>
      <c r="H166" s="200" t="n"/>
      <c r="I166" s="200" t="n"/>
      <c r="J166" s="200" t="n"/>
      <c r="K166" s="200" t="n"/>
      <c r="L166" s="200" t="n"/>
      <c r="M166" s="200" t="n"/>
      <c r="N166" s="200" t="n"/>
      <c r="O166" s="200" t="n"/>
      <c r="P166" s="200" t="n"/>
      <c r="Q166" s="200" t="n"/>
      <c r="R166" s="200" t="n"/>
      <c r="S166" s="200" t="n"/>
      <c r="T166" s="200" t="n"/>
      <c r="U166" s="200" t="n"/>
      <c r="V166" s="200" t="n"/>
      <c r="W166" s="69" t="n"/>
      <c r="X166" s="69" t="n"/>
    </row>
    <row r="167" s="1">
      <c r="A167" s="52" t="n">
        <v>45</v>
      </c>
      <c r="B167" s="200" t="n"/>
      <c r="C167" s="200" t="n"/>
      <c r="D167" s="200" t="n"/>
      <c r="E167" s="200" t="n"/>
      <c r="F167" s="200" t="n"/>
      <c r="G167" s="200" t="n"/>
      <c r="H167" s="200" t="n"/>
      <c r="I167" s="200" t="n"/>
      <c r="J167" s="200" t="n"/>
      <c r="K167" s="200" t="n"/>
      <c r="L167" s="200" t="n"/>
      <c r="M167" s="200" t="n"/>
      <c r="N167" s="200" t="n"/>
      <c r="O167" s="200" t="n"/>
      <c r="P167" s="200" t="n"/>
      <c r="Q167" s="200" t="n"/>
      <c r="R167" s="200" t="n"/>
      <c r="S167" s="200" t="n"/>
      <c r="T167" s="200" t="n"/>
      <c r="U167" s="200" t="n"/>
      <c r="V167" s="200" t="n"/>
      <c r="W167" s="69" t="n"/>
      <c r="X167" s="69" t="n"/>
    </row>
    <row r="168" s="1">
      <c r="A168" s="52" t="n">
        <v>46</v>
      </c>
      <c r="B168" s="200" t="n"/>
      <c r="C168" s="200" t="n"/>
      <c r="D168" s="200" t="n"/>
      <c r="E168" s="200" t="n"/>
      <c r="F168" s="200" t="n"/>
      <c r="G168" s="200" t="n"/>
      <c r="H168" s="200" t="n"/>
      <c r="I168" s="200" t="n"/>
      <c r="J168" s="200" t="n"/>
      <c r="K168" s="200" t="n"/>
      <c r="L168" s="200" t="n"/>
      <c r="M168" s="200" t="n"/>
      <c r="N168" s="200" t="n"/>
      <c r="O168" s="200" t="n"/>
      <c r="P168" s="200" t="n"/>
      <c r="Q168" s="200" t="n"/>
      <c r="R168" s="200" t="n"/>
      <c r="S168" s="200" t="n"/>
      <c r="T168" s="200" t="n"/>
      <c r="U168" s="200" t="n"/>
      <c r="V168" s="200" t="n"/>
      <c r="W168" s="69" t="n"/>
      <c r="X168" s="69" t="n"/>
    </row>
    <row r="169" s="1">
      <c r="A169" s="52" t="n">
        <v>47</v>
      </c>
      <c r="B169" s="200" t="n"/>
      <c r="C169" s="200" t="n"/>
      <c r="D169" s="200" t="n"/>
      <c r="E169" s="200" t="n"/>
      <c r="F169" s="200" t="n"/>
      <c r="G169" s="200" t="n"/>
      <c r="H169" s="200" t="n"/>
      <c r="I169" s="200" t="n"/>
      <c r="J169" s="200" t="n"/>
      <c r="K169" s="200" t="n"/>
      <c r="L169" s="200" t="n"/>
      <c r="M169" s="200" t="n"/>
      <c r="N169" s="200" t="n"/>
      <c r="O169" s="200" t="n"/>
      <c r="P169" s="200" t="n"/>
      <c r="Q169" s="200" t="n"/>
      <c r="R169" s="200" t="n"/>
      <c r="S169" s="200" t="n"/>
      <c r="T169" s="200" t="n"/>
      <c r="U169" s="200" t="n"/>
      <c r="V169" s="200" t="n"/>
      <c r="W169" s="69" t="n"/>
      <c r="X169" s="69" t="n"/>
    </row>
    <row r="170" s="1">
      <c r="A170" s="52" t="n">
        <v>48</v>
      </c>
      <c r="B170" s="200" t="n"/>
      <c r="C170" s="200" t="n"/>
      <c r="D170" s="200" t="n"/>
      <c r="E170" s="200" t="n"/>
      <c r="F170" s="200" t="n"/>
      <c r="G170" s="200" t="n"/>
      <c r="H170" s="200" t="n"/>
      <c r="I170" s="200" t="n"/>
      <c r="J170" s="200" t="n"/>
      <c r="K170" s="200" t="n"/>
      <c r="L170" s="200" t="n"/>
      <c r="M170" s="200" t="n"/>
      <c r="N170" s="200" t="n"/>
      <c r="O170" s="200" t="n"/>
      <c r="P170" s="200" t="n"/>
      <c r="Q170" s="200" t="n"/>
      <c r="R170" s="200" t="n"/>
      <c r="S170" s="200" t="n"/>
      <c r="T170" s="200" t="n"/>
      <c r="U170" s="200" t="n"/>
      <c r="V170" s="200" t="n"/>
      <c r="W170" s="69" t="n"/>
      <c r="X170" s="69" t="n"/>
    </row>
    <row r="171" s="1">
      <c r="A171" s="52" t="n">
        <v>49</v>
      </c>
      <c r="B171" s="200" t="n"/>
      <c r="C171" s="200" t="n"/>
      <c r="D171" s="200" t="n"/>
      <c r="E171" s="200" t="n"/>
      <c r="F171" s="200" t="n"/>
      <c r="G171" s="200" t="n"/>
      <c r="H171" s="200" t="n"/>
      <c r="I171" s="200" t="n"/>
      <c r="J171" s="200" t="n"/>
      <c r="K171" s="200" t="n"/>
      <c r="L171" s="200" t="n"/>
      <c r="M171" s="200" t="n"/>
      <c r="N171" s="200" t="n"/>
      <c r="O171" s="200" t="n"/>
      <c r="P171" s="200" t="n"/>
      <c r="Q171" s="200" t="n"/>
      <c r="R171" s="200" t="n"/>
      <c r="S171" s="200" t="n"/>
      <c r="T171" s="200" t="n"/>
      <c r="U171" s="200" t="n"/>
      <c r="V171" s="200" t="n"/>
      <c r="W171" s="69" t="n"/>
      <c r="X171" s="69" t="n"/>
    </row>
    <row r="172" s="1">
      <c r="A172" s="52" t="n">
        <v>50</v>
      </c>
      <c r="B172" s="200" t="n"/>
      <c r="C172" s="200" t="n"/>
      <c r="D172" s="200" t="n"/>
      <c r="E172" s="200" t="n"/>
      <c r="F172" s="200" t="n"/>
      <c r="G172" s="200" t="n"/>
      <c r="H172" s="200" t="n"/>
      <c r="I172" s="200" t="n"/>
      <c r="J172" s="200" t="n"/>
      <c r="K172" s="200" t="n"/>
      <c r="L172" s="200" t="n"/>
      <c r="M172" s="200" t="n"/>
      <c r="N172" s="200" t="n"/>
      <c r="O172" s="200" t="n"/>
      <c r="P172" s="200" t="n"/>
      <c r="Q172" s="200" t="n"/>
      <c r="R172" s="200" t="n"/>
      <c r="S172" s="200" t="n"/>
      <c r="T172" s="200" t="n"/>
      <c r="U172" s="200" t="n"/>
      <c r="V172" s="200" t="n"/>
      <c r="W172" s="69" t="n"/>
      <c r="X172" s="69" t="n"/>
    </row>
    <row r="173" s="1">
      <c r="A173" s="52" t="n">
        <v>51</v>
      </c>
      <c r="B173" s="200" t="n"/>
      <c r="C173" s="200" t="n"/>
      <c r="D173" s="200" t="n"/>
      <c r="E173" s="200" t="n"/>
      <c r="F173" s="200" t="n"/>
      <c r="G173" s="200" t="n"/>
      <c r="H173" s="200" t="n"/>
      <c r="I173" s="200" t="n"/>
      <c r="J173" s="200" t="n"/>
      <c r="K173" s="200" t="n"/>
      <c r="L173" s="200" t="n"/>
      <c r="M173" s="200" t="n"/>
      <c r="N173" s="200" t="n"/>
      <c r="O173" s="200" t="n"/>
      <c r="P173" s="200" t="n"/>
      <c r="Q173" s="200" t="n"/>
      <c r="R173" s="200" t="n"/>
      <c r="S173" s="200" t="n"/>
      <c r="T173" s="200" t="n"/>
      <c r="U173" s="200" t="n"/>
      <c r="V173" s="200" t="n"/>
      <c r="W173" s="69" t="n"/>
      <c r="X173" s="69" t="n"/>
    </row>
    <row r="174" s="1">
      <c r="A174" s="52" t="n">
        <v>52</v>
      </c>
      <c r="B174" s="200" t="n"/>
      <c r="C174" s="200" t="n"/>
      <c r="D174" s="200" t="n"/>
      <c r="E174" s="200" t="n"/>
      <c r="F174" s="200" t="n"/>
      <c r="G174" s="200" t="n"/>
      <c r="H174" s="200" t="n"/>
      <c r="I174" s="200" t="n"/>
      <c r="J174" s="200" t="n"/>
      <c r="K174" s="200" t="n"/>
      <c r="L174" s="200" t="n"/>
      <c r="M174" s="200" t="n"/>
      <c r="N174" s="200" t="n"/>
      <c r="O174" s="200" t="n"/>
      <c r="P174" s="200" t="n"/>
      <c r="Q174" s="200" t="n"/>
      <c r="R174" s="200" t="n"/>
      <c r="S174" s="200" t="n"/>
      <c r="T174" s="200" t="n"/>
      <c r="U174" s="200" t="n"/>
      <c r="V174" s="200" t="n"/>
      <c r="W174" s="69" t="n"/>
      <c r="X174" s="69" t="n"/>
    </row>
    <row r="175" s="1">
      <c r="A175" s="52" t="n">
        <v>53</v>
      </c>
      <c r="B175" s="200" t="n"/>
      <c r="C175" s="200" t="n"/>
      <c r="D175" s="200" t="n"/>
      <c r="E175" s="200" t="n"/>
      <c r="F175" s="200" t="n"/>
      <c r="G175" s="200" t="n"/>
      <c r="H175" s="200" t="n"/>
      <c r="I175" s="200" t="n"/>
      <c r="J175" s="200" t="n"/>
      <c r="K175" s="200" t="n"/>
      <c r="L175" s="200" t="n"/>
      <c r="M175" s="200" t="n"/>
      <c r="N175" s="200" t="n"/>
      <c r="O175" s="200" t="n"/>
      <c r="P175" s="200" t="n"/>
      <c r="Q175" s="200" t="n"/>
      <c r="R175" s="200" t="n"/>
      <c r="S175" s="200" t="n"/>
      <c r="T175" s="200" t="n"/>
      <c r="U175" s="200" t="n"/>
      <c r="V175" s="200" t="n"/>
      <c r="W175" s="69" t="n"/>
      <c r="X175" s="69" t="n"/>
    </row>
    <row r="176" s="1">
      <c r="A176" s="52" t="n">
        <v>54</v>
      </c>
      <c r="B176" s="200" t="n"/>
      <c r="C176" s="200" t="n"/>
      <c r="D176" s="200" t="n"/>
      <c r="E176" s="200" t="n"/>
      <c r="F176" s="200" t="n"/>
      <c r="G176" s="200" t="n"/>
      <c r="H176" s="200" t="n"/>
      <c r="I176" s="200" t="n"/>
      <c r="J176" s="200" t="n"/>
      <c r="K176" s="200" t="n"/>
      <c r="L176" s="200" t="n"/>
      <c r="M176" s="200" t="n"/>
      <c r="N176" s="200" t="n"/>
      <c r="O176" s="200" t="n"/>
      <c r="P176" s="200" t="n"/>
      <c r="Q176" s="200" t="n"/>
      <c r="R176" s="200" t="n"/>
      <c r="S176" s="200" t="n"/>
      <c r="T176" s="200" t="n"/>
      <c r="U176" s="200" t="n"/>
      <c r="V176" s="200" t="n"/>
      <c r="W176" s="69" t="n"/>
      <c r="X176" s="69" t="n"/>
    </row>
    <row r="177" s="1">
      <c r="A177" s="52" t="n">
        <v>55</v>
      </c>
      <c r="B177" s="200" t="n"/>
      <c r="C177" s="200" t="n"/>
      <c r="D177" s="200" t="n"/>
      <c r="E177" s="200" t="n"/>
      <c r="F177" s="200" t="n"/>
      <c r="G177" s="200" t="n"/>
      <c r="H177" s="200" t="n"/>
      <c r="I177" s="200" t="n"/>
      <c r="J177" s="200" t="n"/>
      <c r="K177" s="200" t="n"/>
      <c r="L177" s="200" t="n"/>
      <c r="M177" s="200" t="n"/>
      <c r="N177" s="200" t="n"/>
      <c r="O177" s="200" t="n"/>
      <c r="P177" s="200" t="n"/>
      <c r="Q177" s="200" t="n"/>
      <c r="R177" s="200" t="n"/>
      <c r="S177" s="200" t="n"/>
      <c r="T177" s="200" t="n"/>
      <c r="U177" s="200" t="n"/>
      <c r="V177" s="200" t="n"/>
      <c r="W177" s="69" t="n"/>
      <c r="X177" s="69" t="n"/>
    </row>
    <row r="178" s="1">
      <c r="A178" s="52" t="n">
        <v>56</v>
      </c>
      <c r="B178" s="200" t="n"/>
      <c r="C178" s="200" t="n"/>
      <c r="D178" s="200" t="n"/>
      <c r="E178" s="200" t="n"/>
      <c r="F178" s="200" t="n"/>
      <c r="G178" s="200" t="n"/>
      <c r="H178" s="200" t="n"/>
      <c r="I178" s="200" t="n"/>
      <c r="J178" s="200" t="n"/>
      <c r="K178" s="200" t="n"/>
      <c r="L178" s="200" t="n"/>
      <c r="M178" s="200" t="n"/>
      <c r="N178" s="200" t="n"/>
      <c r="O178" s="200" t="n"/>
      <c r="P178" s="200" t="n"/>
      <c r="Q178" s="200" t="n"/>
      <c r="R178" s="200" t="n"/>
      <c r="S178" s="200" t="n"/>
      <c r="T178" s="200" t="n"/>
      <c r="U178" s="200" t="n"/>
      <c r="V178" s="200" t="n"/>
      <c r="W178" s="69" t="n"/>
      <c r="X178" s="69" t="n"/>
    </row>
    <row r="179" s="1">
      <c r="A179" s="52" t="n">
        <v>57</v>
      </c>
      <c r="B179" s="200" t="n"/>
      <c r="C179" s="200" t="n"/>
      <c r="D179" s="200" t="n"/>
      <c r="E179" s="200" t="n"/>
      <c r="F179" s="200" t="n"/>
      <c r="G179" s="200" t="n"/>
      <c r="H179" s="200" t="n"/>
      <c r="I179" s="200" t="n"/>
      <c r="J179" s="200" t="n"/>
      <c r="K179" s="200" t="n"/>
      <c r="L179" s="200" t="n"/>
      <c r="M179" s="200" t="n"/>
      <c r="N179" s="200" t="n"/>
      <c r="O179" s="200" t="n"/>
      <c r="P179" s="200" t="n"/>
      <c r="Q179" s="200" t="n"/>
      <c r="R179" s="200" t="n"/>
      <c r="S179" s="200" t="n"/>
      <c r="T179" s="200" t="n"/>
      <c r="U179" s="200" t="n"/>
      <c r="V179" s="200" t="n"/>
      <c r="W179" s="69" t="n"/>
      <c r="X179" s="69" t="n"/>
    </row>
    <row r="180" s="1">
      <c r="A180" s="52" t="n">
        <v>58</v>
      </c>
      <c r="B180" s="200" t="n"/>
      <c r="C180" s="200" t="n"/>
      <c r="D180" s="200" t="n"/>
      <c r="E180" s="200" t="n"/>
      <c r="F180" s="200" t="n"/>
      <c r="G180" s="200" t="n"/>
      <c r="H180" s="200" t="n"/>
      <c r="I180" s="200" t="n"/>
      <c r="J180" s="200" t="n"/>
      <c r="K180" s="200" t="n"/>
      <c r="L180" s="200" t="n"/>
      <c r="M180" s="200" t="n"/>
      <c r="N180" s="200" t="n"/>
      <c r="O180" s="200" t="n"/>
      <c r="P180" s="200" t="n"/>
      <c r="Q180" s="200" t="n"/>
      <c r="R180" s="200" t="n"/>
      <c r="S180" s="200" t="n"/>
      <c r="T180" s="200" t="n"/>
      <c r="U180" s="200" t="n"/>
      <c r="V180" s="200" t="n"/>
      <c r="W180" s="69" t="n"/>
      <c r="X180" s="69" t="n"/>
    </row>
    <row r="181" s="1">
      <c r="A181" s="52" t="n">
        <v>59</v>
      </c>
      <c r="B181" s="200" t="n"/>
      <c r="C181" s="200" t="n"/>
      <c r="D181" s="200" t="n"/>
      <c r="E181" s="200" t="n"/>
      <c r="F181" s="200" t="n"/>
      <c r="G181" s="200" t="n"/>
      <c r="H181" s="200" t="n"/>
      <c r="I181" s="200" t="n"/>
      <c r="J181" s="200" t="n"/>
      <c r="K181" s="200" t="n"/>
      <c r="L181" s="200" t="n"/>
      <c r="M181" s="200" t="n"/>
      <c r="N181" s="200" t="n"/>
      <c r="O181" s="200" t="n"/>
      <c r="P181" s="200" t="n"/>
      <c r="Q181" s="200" t="n"/>
      <c r="R181" s="200" t="n"/>
      <c r="S181" s="200" t="n"/>
      <c r="T181" s="200" t="n"/>
      <c r="U181" s="200" t="n"/>
      <c r="V181" s="200" t="n"/>
      <c r="W181" s="69" t="n"/>
      <c r="X181" s="69" t="n"/>
    </row>
    <row r="182" s="1">
      <c r="A182" s="52" t="n">
        <v>60</v>
      </c>
      <c r="B182" s="200" t="n"/>
      <c r="C182" s="200" t="n"/>
      <c r="D182" s="200" t="n"/>
      <c r="E182" s="200" t="n"/>
      <c r="F182" s="200" t="n"/>
      <c r="G182" s="200" t="n"/>
      <c r="H182" s="200" t="n"/>
      <c r="I182" s="200" t="n"/>
      <c r="J182" s="200" t="n"/>
      <c r="K182" s="200" t="n"/>
      <c r="L182" s="200" t="n"/>
      <c r="M182" s="200" t="n"/>
      <c r="N182" s="200" t="n"/>
      <c r="O182" s="200" t="n"/>
      <c r="P182" s="200" t="n"/>
      <c r="Q182" s="200" t="n"/>
      <c r="R182" s="200" t="n"/>
      <c r="S182" s="200" t="n"/>
      <c r="T182" s="200" t="n"/>
      <c r="U182" s="200" t="n"/>
      <c r="V182" s="200" t="n"/>
      <c r="W182" s="69" t="n"/>
      <c r="X182" s="69" t="n"/>
    </row>
    <row r="183" s="1">
      <c r="A183" s="52" t="n">
        <v>61</v>
      </c>
      <c r="B183" s="200" t="n"/>
      <c r="C183" s="200" t="n"/>
      <c r="D183" s="200" t="n"/>
      <c r="E183" s="200" t="n"/>
      <c r="F183" s="200" t="n"/>
      <c r="G183" s="200" t="n"/>
      <c r="H183" s="200" t="n"/>
      <c r="I183" s="200" t="n"/>
      <c r="J183" s="200" t="n"/>
      <c r="K183" s="200" t="n"/>
      <c r="L183" s="200" t="n"/>
      <c r="M183" s="200" t="n"/>
      <c r="N183" s="200" t="n"/>
      <c r="O183" s="200" t="n"/>
      <c r="P183" s="200" t="n"/>
      <c r="Q183" s="200" t="n"/>
      <c r="R183" s="200" t="n"/>
      <c r="S183" s="200" t="n"/>
      <c r="T183" s="200" t="n"/>
      <c r="U183" s="200" t="n"/>
      <c r="V183" s="200" t="n"/>
      <c r="W183" s="69" t="n"/>
      <c r="X183" s="69" t="n"/>
    </row>
    <row r="184" s="1">
      <c r="A184" s="52" t="n">
        <v>62</v>
      </c>
      <c r="B184" s="200" t="n"/>
      <c r="C184" s="200" t="n"/>
      <c r="D184" s="200" t="n"/>
      <c r="E184" s="200" t="n"/>
      <c r="F184" s="200" t="n"/>
      <c r="G184" s="200" t="n"/>
      <c r="H184" s="200" t="n"/>
      <c r="I184" s="200" t="n"/>
      <c r="J184" s="200" t="n"/>
      <c r="K184" s="200" t="n"/>
      <c r="L184" s="200" t="n"/>
      <c r="M184" s="200" t="n"/>
      <c r="N184" s="200" t="n"/>
      <c r="O184" s="200" t="n"/>
      <c r="P184" s="200" t="n"/>
      <c r="Q184" s="200" t="n"/>
      <c r="R184" s="200" t="n"/>
      <c r="S184" s="200" t="n"/>
      <c r="T184" s="200" t="n"/>
      <c r="U184" s="200" t="n"/>
      <c r="V184" s="200" t="n"/>
      <c r="W184" s="69" t="n"/>
      <c r="X184" s="69" t="n"/>
    </row>
    <row r="185" s="1">
      <c r="A185" s="52" t="n">
        <v>63</v>
      </c>
      <c r="B185" s="200" t="n"/>
      <c r="C185" s="200" t="n"/>
      <c r="D185" s="200" t="n"/>
      <c r="E185" s="200" t="n"/>
      <c r="F185" s="200" t="n"/>
      <c r="G185" s="200" t="n"/>
      <c r="H185" s="200" t="n"/>
      <c r="I185" s="200" t="n"/>
      <c r="J185" s="200" t="n"/>
      <c r="K185" s="200" t="n"/>
      <c r="L185" s="200" t="n"/>
      <c r="M185" s="200" t="n"/>
      <c r="N185" s="200" t="n"/>
      <c r="O185" s="200" t="n"/>
      <c r="P185" s="200" t="n"/>
      <c r="Q185" s="200" t="n"/>
      <c r="R185" s="200" t="n"/>
      <c r="S185" s="200" t="n"/>
      <c r="T185" s="200" t="n"/>
      <c r="U185" s="200" t="n"/>
      <c r="V185" s="200" t="n"/>
      <c r="W185" s="69" t="n"/>
      <c r="X185" s="69" t="n"/>
    </row>
    <row r="186" s="1">
      <c r="A186" s="52" t="n">
        <v>64</v>
      </c>
      <c r="B186" s="200" t="n"/>
      <c r="C186" s="200" t="n"/>
      <c r="D186" s="200" t="n"/>
      <c r="E186" s="200" t="n"/>
      <c r="F186" s="200" t="n"/>
      <c r="G186" s="200" t="n"/>
      <c r="H186" s="200" t="n"/>
      <c r="I186" s="200" t="n"/>
      <c r="J186" s="200" t="n"/>
      <c r="K186" s="200" t="n"/>
      <c r="L186" s="200" t="n"/>
      <c r="M186" s="200" t="n"/>
      <c r="N186" s="200" t="n"/>
      <c r="O186" s="200" t="n"/>
      <c r="P186" s="200" t="n"/>
      <c r="Q186" s="200" t="n"/>
      <c r="R186" s="200" t="n"/>
      <c r="S186" s="200" t="n"/>
      <c r="T186" s="200" t="n"/>
      <c r="U186" s="200" t="n"/>
      <c r="V186" s="200" t="n"/>
      <c r="W186" s="69" t="n"/>
      <c r="X186" s="69" t="n"/>
    </row>
    <row r="187" s="1">
      <c r="A187" s="52" t="n">
        <v>65</v>
      </c>
      <c r="B187" s="200" t="n"/>
      <c r="C187" s="200" t="n"/>
      <c r="D187" s="200" t="n"/>
      <c r="E187" s="200" t="n"/>
      <c r="F187" s="200" t="n"/>
      <c r="G187" s="200" t="n"/>
      <c r="H187" s="200" t="n"/>
      <c r="I187" s="200" t="n"/>
      <c r="J187" s="200" t="n"/>
      <c r="K187" s="200" t="n"/>
      <c r="L187" s="200" t="n"/>
      <c r="M187" s="200" t="n"/>
      <c r="N187" s="200" t="n"/>
      <c r="O187" s="200" t="n"/>
      <c r="P187" s="200" t="n"/>
      <c r="Q187" s="200" t="n"/>
      <c r="R187" s="200" t="n"/>
      <c r="S187" s="200" t="n"/>
      <c r="T187" s="200" t="n"/>
      <c r="U187" s="200" t="n"/>
      <c r="V187" s="200" t="n"/>
      <c r="W187" s="69" t="n"/>
      <c r="X187" s="69" t="n"/>
    </row>
    <row r="188" s="1">
      <c r="A188" s="52" t="n">
        <v>66</v>
      </c>
      <c r="B188" s="200" t="n"/>
      <c r="C188" s="200" t="n"/>
      <c r="D188" s="200" t="n"/>
      <c r="E188" s="200" t="n"/>
      <c r="F188" s="200" t="n"/>
      <c r="G188" s="200" t="n"/>
      <c r="H188" s="200" t="n"/>
      <c r="I188" s="200" t="n"/>
      <c r="J188" s="200" t="n"/>
      <c r="K188" s="200" t="n"/>
      <c r="L188" s="200" t="n"/>
      <c r="M188" s="200" t="n"/>
      <c r="N188" s="200" t="n"/>
      <c r="O188" s="200" t="n"/>
      <c r="P188" s="200" t="n"/>
      <c r="Q188" s="200" t="n"/>
      <c r="R188" s="200" t="n"/>
      <c r="S188" s="200" t="n"/>
      <c r="T188" s="200" t="n"/>
      <c r="U188" s="200" t="n"/>
      <c r="V188" s="200" t="n"/>
    </row>
    <row r="189" s="1">
      <c r="A189" s="52" t="n">
        <v>67</v>
      </c>
      <c r="B189" s="200" t="n"/>
      <c r="C189" s="200" t="n"/>
      <c r="D189" s="200" t="n"/>
      <c r="E189" s="200" t="n"/>
      <c r="F189" s="200" t="n"/>
      <c r="G189" s="200" t="n"/>
      <c r="H189" s="200" t="n"/>
      <c r="I189" s="200" t="n"/>
      <c r="J189" s="200" t="n"/>
      <c r="K189" s="200" t="n"/>
      <c r="L189" s="200" t="n"/>
      <c r="M189" s="200" t="n"/>
      <c r="N189" s="200" t="n"/>
      <c r="O189" s="200" t="n"/>
      <c r="P189" s="200" t="n"/>
      <c r="Q189" s="200" t="n"/>
      <c r="R189" s="200" t="n"/>
      <c r="S189" s="200" t="n"/>
      <c r="T189" s="200" t="n"/>
      <c r="U189" s="200" t="n"/>
      <c r="V189" s="200" t="n"/>
    </row>
    <row r="190" s="1">
      <c r="A190" s="52" t="n">
        <v>68</v>
      </c>
      <c r="B190" s="200" t="n"/>
      <c r="C190" s="200" t="n"/>
      <c r="D190" s="200" t="n"/>
      <c r="E190" s="200" t="n"/>
      <c r="F190" s="200" t="n"/>
      <c r="G190" s="200" t="n"/>
      <c r="H190" s="200" t="n"/>
      <c r="I190" s="200" t="n"/>
      <c r="J190" s="200" t="n"/>
      <c r="K190" s="200" t="n"/>
      <c r="L190" s="200" t="n"/>
      <c r="M190" s="200" t="n"/>
      <c r="N190" s="200" t="n"/>
      <c r="O190" s="200" t="n"/>
      <c r="P190" s="200" t="n"/>
      <c r="Q190" s="200" t="n"/>
      <c r="R190" s="200" t="n"/>
      <c r="S190" s="200" t="n"/>
      <c r="T190" s="200" t="n"/>
      <c r="U190" s="200" t="n"/>
      <c r="V190" s="200" t="n"/>
    </row>
    <row r="191" s="1">
      <c r="A191" s="52" t="n">
        <v>69</v>
      </c>
      <c r="B191" s="200" t="n"/>
      <c r="C191" s="200" t="n"/>
      <c r="D191" s="200" t="n"/>
      <c r="E191" s="200" t="n"/>
      <c r="F191" s="200" t="n"/>
      <c r="G191" s="200" t="n"/>
      <c r="H191" s="200" t="n"/>
      <c r="I191" s="200" t="n"/>
      <c r="J191" s="200" t="n"/>
      <c r="K191" s="200" t="n"/>
      <c r="L191" s="200" t="n"/>
      <c r="M191" s="200" t="n"/>
      <c r="N191" s="200" t="n"/>
      <c r="O191" s="200" t="n"/>
      <c r="P191" s="200" t="n"/>
      <c r="Q191" s="200" t="n"/>
      <c r="R191" s="200" t="n"/>
      <c r="S191" s="200" t="n"/>
      <c r="T191" s="200" t="n"/>
      <c r="U191" s="200" t="n"/>
      <c r="V191" s="200" t="n"/>
    </row>
    <row r="192" s="1">
      <c r="A192" s="52" t="n">
        <v>70</v>
      </c>
      <c r="B192" s="201" t="n"/>
      <c r="C192" s="201" t="n"/>
      <c r="D192" s="201" t="n"/>
      <c r="E192" s="201" t="n"/>
      <c r="F192" s="201" t="n"/>
      <c r="G192" s="201" t="n"/>
      <c r="H192" s="201" t="n"/>
      <c r="I192" s="201" t="n"/>
      <c r="J192" s="201" t="n"/>
      <c r="K192" s="201" t="n"/>
      <c r="L192" s="201" t="n"/>
      <c r="M192" s="201" t="n"/>
      <c r="N192" s="201" t="n"/>
      <c r="O192" s="201" t="n"/>
      <c r="P192" s="201" t="n"/>
      <c r="Q192" s="201" t="n"/>
      <c r="R192" s="201" t="n"/>
      <c r="S192" s="201" t="n"/>
      <c r="T192" s="201" t="n"/>
      <c r="U192" s="201" t="n"/>
      <c r="V192" s="201" t="n"/>
      <c r="W192" s="202" t="inlineStr">
        <is>
          <t>OVERALL</t>
        </is>
      </c>
      <c r="X192" s="268" t="n"/>
    </row>
    <row r="193" customFormat="1" s="69">
      <c r="A193" s="204" t="inlineStr">
        <is>
          <t>Number of Examinees</t>
        </is>
      </c>
      <c r="B193" s="205">
        <f>IFERROR(COUNTA(B123:B192),"")</f>
        <v/>
      </c>
      <c r="C193" s="205">
        <f>IFERROR(COUNTA(C123:C192),"")</f>
        <v/>
      </c>
      <c r="D193" s="205">
        <f>IFERROR(COUNTA(D123:D192),"")</f>
        <v/>
      </c>
      <c r="E193" s="205">
        <f>IFERROR(COUNTA(E123:E192),"")</f>
        <v/>
      </c>
      <c r="F193" s="205">
        <f>IFERROR(COUNTA(F123:F192),"")</f>
        <v/>
      </c>
      <c r="G193" s="205">
        <f>IFERROR(COUNTA(G123:G192),"")</f>
        <v/>
      </c>
      <c r="H193" s="205">
        <f>IFERROR(COUNTA(H123:H192),"")</f>
        <v/>
      </c>
      <c r="I193" s="205">
        <f>IFERROR(COUNTA(I123:I192),"")</f>
        <v/>
      </c>
      <c r="J193" s="205">
        <f>IFERROR(COUNTA(J123:J192),"")</f>
        <v/>
      </c>
      <c r="K193" s="205">
        <f>IFERROR(COUNTA(K123:K192),"")</f>
        <v/>
      </c>
      <c r="L193" s="205">
        <f>IFERROR(COUNTA(L123:L192),"")</f>
        <v/>
      </c>
      <c r="M193" s="205">
        <f>IFERROR(COUNTA(M123:M192),"")</f>
        <v/>
      </c>
      <c r="N193" s="205">
        <f>IFERROR(COUNTA(N123:N192),"")</f>
        <v/>
      </c>
      <c r="O193" s="205">
        <f>IFERROR(COUNTA(O123:O192),"")</f>
        <v/>
      </c>
      <c r="P193" s="205">
        <f>IFERROR(COUNTA(P123:P192),"")</f>
        <v/>
      </c>
      <c r="Q193" s="205">
        <f>IFERROR(COUNTA(Q123:Q192),"")</f>
        <v/>
      </c>
      <c r="R193" s="205">
        <f>IFERROR(COUNTA(R123:R192),"")</f>
        <v/>
      </c>
      <c r="S193" s="205">
        <f>IFERROR(COUNTA(S123:S192),"")</f>
        <v/>
      </c>
      <c r="T193" s="205">
        <f>IFERROR(COUNTA(T123:T192),"")</f>
        <v/>
      </c>
      <c r="U193" s="205">
        <f>IFERROR(COUNTA(U123:U192),"")</f>
        <v/>
      </c>
      <c r="V193" s="205">
        <f>IFERROR(COUNTA(V123:V192),"")</f>
        <v/>
      </c>
      <c r="W193" s="206">
        <f>IF(SUM(B193:V193)=0,"",SUM(B193:V193))</f>
        <v/>
      </c>
      <c r="X193" s="207" t="inlineStr">
        <is>
          <t>Number of Examinees</t>
        </is>
      </c>
    </row>
    <row r="194" customFormat="1" s="69">
      <c r="A194" s="208" t="inlineStr">
        <is>
          <t>Highly Proficient (55 - 60)</t>
        </is>
      </c>
      <c r="B194" s="205">
        <f>IF(B193="","",COUNTIF(B123:B192,"&gt;="&amp;$B$214))</f>
        <v/>
      </c>
      <c r="C194" s="205">
        <f>IF(C193="","",COUNTIF(C123:C192,"&gt;="&amp;$B$214))</f>
        <v/>
      </c>
      <c r="D194" s="205">
        <f>IF(D193="","",COUNTIF(D123:D192,"&gt;="&amp;$B$214))</f>
        <v/>
      </c>
      <c r="E194" s="205">
        <f>IF(E193="","",COUNTIF(E123:E192,"&gt;="&amp;$B$214))</f>
        <v/>
      </c>
      <c r="F194" s="205">
        <f>IF(F193="","",COUNTIF(F123:F192,"&gt;="&amp;$B$214))</f>
        <v/>
      </c>
      <c r="G194" s="205">
        <f>IF(G193="","",COUNTIF(G123:G192,"&gt;="&amp;$B$214))</f>
        <v/>
      </c>
      <c r="H194" s="205">
        <f>IF(H193="","",COUNTIF(H123:H192,"&gt;="&amp;$B$214))</f>
        <v/>
      </c>
      <c r="I194" s="205">
        <f>IF(I193="","",COUNTIF(I123:I192,"&gt;="&amp;$B$214))</f>
        <v/>
      </c>
      <c r="J194" s="205">
        <f>IF(J193="","",COUNTIF(J123:J192,"&gt;="&amp;$B$214))</f>
        <v/>
      </c>
      <c r="K194" s="205">
        <f>IF(K193="","",COUNTIF(K123:K192,"&gt;="&amp;$B$214))</f>
        <v/>
      </c>
      <c r="L194" s="205">
        <f>IF(L193="","",COUNTIF(L123:L192,"&gt;="&amp;$B$214))</f>
        <v/>
      </c>
      <c r="M194" s="205">
        <f>IF(M193="","",COUNTIF(M123:M192,"&gt;="&amp;$B$214))</f>
        <v/>
      </c>
      <c r="N194" s="205">
        <f>IF(N193="","",COUNTIF(N123:N192,"&gt;="&amp;$B$214))</f>
        <v/>
      </c>
      <c r="O194" s="205">
        <f>IF(O193="","",COUNTIF(O123:O192,"&gt;="&amp;$B$214))</f>
        <v/>
      </c>
      <c r="P194" s="205">
        <f>IF(P193="","",COUNTIF(P123:P192,"&gt;="&amp;$B$214))</f>
        <v/>
      </c>
      <c r="Q194" s="205">
        <f>IF(Q193="","",COUNTIF(Q123:Q192,"&gt;="&amp;$B$214))</f>
        <v/>
      </c>
      <c r="R194" s="205">
        <f>IF(R193="","",COUNTIF(R123:R192,"&gt;="&amp;$B$214))</f>
        <v/>
      </c>
      <c r="S194" s="205">
        <f>IF(S193="","",COUNTIF(S123:S192,"&gt;="&amp;$B$214))</f>
        <v/>
      </c>
      <c r="T194" s="205">
        <f>IF(T193="","",COUNTIF(T123:T192,"&gt;="&amp;$B$214))</f>
        <v/>
      </c>
      <c r="U194" s="205">
        <f>IF(U193="","",COUNTIF(U123:U192,"&gt;="&amp;$B$214))</f>
        <v/>
      </c>
      <c r="V194" s="205">
        <f>IF(V193="","",COUNTIF(V123:V192,"&gt;="&amp;$B$214))</f>
        <v/>
      </c>
      <c r="W194" s="206">
        <f>IF($W$193="","",SUM(B194:V194))</f>
        <v/>
      </c>
      <c r="X194" s="209" t="inlineStr">
        <is>
          <t>Highly Proficient</t>
        </is>
      </c>
    </row>
    <row r="195" customFormat="1" s="69">
      <c r="A195" s="208" t="inlineStr">
        <is>
          <t>Proficient (46 - 54)</t>
        </is>
      </c>
      <c r="B195" s="205">
        <f>IF(B193="","",COUNTIFS(B123:B192,"&gt;="&amp;$B$213,B123:B192,"&lt;"&amp;$B$214))</f>
        <v/>
      </c>
      <c r="C195" s="205">
        <f>IF(C193="","",COUNTIFS(C123:C192,"&gt;="&amp;$B$213,C123:C192,"&lt;"&amp;$B$214))</f>
        <v/>
      </c>
      <c r="D195" s="205">
        <f>IF(D193="","",COUNTIFS(D123:D192,"&gt;="&amp;$B$213,D123:D192,"&lt;"&amp;$B$214))</f>
        <v/>
      </c>
      <c r="E195" s="205">
        <f>IF(E193="","",COUNTIFS(E123:E192,"&gt;="&amp;$B$213,E123:E192,"&lt;"&amp;$B$214))</f>
        <v/>
      </c>
      <c r="F195" s="205">
        <f>IF(F193="","",COUNTIFS(F123:F192,"&gt;="&amp;$B$213,F123:F192,"&lt;"&amp;$B$214))</f>
        <v/>
      </c>
      <c r="G195" s="205">
        <f>IF(G193="","",COUNTIFS(G123:G192,"&gt;="&amp;$B$213,G123:G192,"&lt;"&amp;$B$214))</f>
        <v/>
      </c>
      <c r="H195" s="205">
        <f>IF(H193="","",COUNTIFS(H123:H192,"&gt;="&amp;$B$213,H123:H192,"&lt;"&amp;$B$214))</f>
        <v/>
      </c>
      <c r="I195" s="205">
        <f>IF(I193="","",COUNTIFS(I123:I192,"&gt;="&amp;$B$213,I123:I192,"&lt;"&amp;$B$214))</f>
        <v/>
      </c>
      <c r="J195" s="205">
        <f>IF(J193="","",COUNTIFS(J123:J192,"&gt;="&amp;$B$213,J123:J192,"&lt;"&amp;$B$214))</f>
        <v/>
      </c>
      <c r="K195" s="205">
        <f>IF(K193="","",COUNTIFS(K123:K192,"&gt;="&amp;$B$213,K123:K192,"&lt;"&amp;$B$214))</f>
        <v/>
      </c>
      <c r="L195" s="205">
        <f>IF(L193="","",COUNTIFS(L123:L192,"&gt;="&amp;$B$213,L123:L192,"&lt;"&amp;$B$214))</f>
        <v/>
      </c>
      <c r="M195" s="205">
        <f>IF(M193="","",COUNTIFS(M123:M192,"&gt;="&amp;$B$213,M123:M192,"&lt;"&amp;$B$214))</f>
        <v/>
      </c>
      <c r="N195" s="205">
        <f>IF(N193="","",COUNTIFS(N123:N192,"&gt;="&amp;$B$213,N123:N192,"&lt;"&amp;$B$214))</f>
        <v/>
      </c>
      <c r="O195" s="205">
        <f>IF(O193="","",COUNTIFS(O123:O192,"&gt;="&amp;$B$213,O123:O192,"&lt;"&amp;$B$214))</f>
        <v/>
      </c>
      <c r="P195" s="205">
        <f>IF(P193="","",COUNTIFS(P123:P192,"&gt;="&amp;$B$213,P123:P192,"&lt;"&amp;$B$214))</f>
        <v/>
      </c>
      <c r="Q195" s="205">
        <f>IF(Q193="","",COUNTIFS(Q123:Q192,"&gt;="&amp;$B$213,Q123:Q192,"&lt;"&amp;$B$214))</f>
        <v/>
      </c>
      <c r="R195" s="205">
        <f>IF(R193="","",COUNTIFS(R123:R192,"&gt;="&amp;$B$213,R123:R192,"&lt;"&amp;$B$214))</f>
        <v/>
      </c>
      <c r="S195" s="205">
        <f>IF(S193="","",COUNTIFS(S123:S192,"&gt;="&amp;$B$213,S123:S192,"&lt;"&amp;$B$214))</f>
        <v/>
      </c>
      <c r="T195" s="205">
        <f>IF(T193="","",COUNTIFS(T123:T192,"&gt;="&amp;$B$213,T123:T192,"&lt;"&amp;$B$214))</f>
        <v/>
      </c>
      <c r="U195" s="205">
        <f>IF(U193="","",COUNTIFS(U123:U192,"&gt;="&amp;$B$213,U123:U192,"&lt;"&amp;$B$214))</f>
        <v/>
      </c>
      <c r="V195" s="205">
        <f>IF(V193="","",COUNTIFS(V123:V192,"&gt;="&amp;$B$213,V123:V192,"&lt;"&amp;$B$214))</f>
        <v/>
      </c>
      <c r="W195" s="206">
        <f>IF($W$193="","",SUM(B195:V195))</f>
        <v/>
      </c>
      <c r="X195" s="209" t="inlineStr">
        <is>
          <t>Proficient</t>
        </is>
      </c>
    </row>
    <row r="196" customFormat="1" s="69">
      <c r="A196" s="208" t="inlineStr">
        <is>
          <t>Nearly Proficient (31 - 45)</t>
        </is>
      </c>
      <c r="B196" s="205">
        <f>IF(B$193="","",COUNTIFS(B$123:B$192,"&gt;="&amp;$B$212,B123:B192,"&lt;"&amp;$B$213))</f>
        <v/>
      </c>
      <c r="C196" s="205">
        <f>IF(C$193="","",COUNTIFS(C$123:C$192,"&gt;="&amp;$B$212,C123:C192,"&lt;"&amp;$B$213))</f>
        <v/>
      </c>
      <c r="D196" s="205">
        <f>IF(D$193="","",COUNTIFS(D$123:D$192,"&gt;="&amp;$B$212,D123:D192,"&lt;"&amp;$B$213))</f>
        <v/>
      </c>
      <c r="E196" s="205">
        <f>IF(E$193="","",COUNTIFS(E$123:E$192,"&gt;="&amp;$B$212,E123:E192,"&lt;"&amp;$B$213))</f>
        <v/>
      </c>
      <c r="F196" s="205">
        <f>IF(F$193="","",COUNTIFS(F$123:F$192,"&gt;="&amp;$B$212,F123:F192,"&lt;"&amp;$B$213))</f>
        <v/>
      </c>
      <c r="G196" s="205">
        <f>IF(G$193="","",COUNTIFS(G$123:G$192,"&gt;="&amp;$B$212,G123:G192,"&lt;"&amp;$B$213))</f>
        <v/>
      </c>
      <c r="H196" s="205">
        <f>IF(H$193="","",COUNTIFS(H$123:H$192,"&gt;="&amp;$B$212,H123:H192,"&lt;"&amp;$B$213))</f>
        <v/>
      </c>
      <c r="I196" s="205">
        <f>IF(I$193="","",COUNTIFS(I$123:I$192,"&gt;="&amp;$B$212,I123:I192,"&lt;"&amp;$B$213))</f>
        <v/>
      </c>
      <c r="J196" s="205">
        <f>IF(J$193="","",COUNTIFS(J$123:J$192,"&gt;="&amp;$B$212,J123:J192,"&lt;"&amp;$B$213))</f>
        <v/>
      </c>
      <c r="K196" s="205">
        <f>IF(K$193="","",COUNTIFS(K$123:K$192,"&gt;="&amp;$B$212,K123:K192,"&lt;"&amp;$B$213))</f>
        <v/>
      </c>
      <c r="L196" s="205">
        <f>IF(L$193="","",COUNTIFS(L$123:L$192,"&gt;="&amp;$B$212,L123:L192,"&lt;"&amp;$B$213))</f>
        <v/>
      </c>
      <c r="M196" s="205">
        <f>IF(M$193="","",COUNTIFS(M$123:M$192,"&gt;="&amp;$B$212,M123:M192,"&lt;"&amp;$B$213))</f>
        <v/>
      </c>
      <c r="N196" s="205">
        <f>IF(N$193="","",COUNTIFS(N$123:N$192,"&gt;="&amp;$B$212,N123:N192,"&lt;"&amp;$B$213))</f>
        <v/>
      </c>
      <c r="O196" s="205">
        <f>IF(O$193="","",COUNTIFS(O$123:O$192,"&gt;="&amp;$B$212,O123:O192,"&lt;"&amp;$B$213))</f>
        <v/>
      </c>
      <c r="P196" s="205">
        <f>IF(P$193="","",COUNTIFS(P$123:P$192,"&gt;="&amp;$B$212,P123:P192,"&lt;"&amp;$B$213))</f>
        <v/>
      </c>
      <c r="Q196" s="205">
        <f>IF(Q$193="","",COUNTIFS(Q$123:Q$192,"&gt;="&amp;$B$212,Q123:Q192,"&lt;"&amp;$B$213))</f>
        <v/>
      </c>
      <c r="R196" s="205">
        <f>IF(R$193="","",COUNTIFS(R$123:R$192,"&gt;="&amp;$B$212,R123:R192,"&lt;"&amp;$B$213))</f>
        <v/>
      </c>
      <c r="S196" s="205">
        <f>IF(S$193="","",COUNTIFS(S$123:S$192,"&gt;="&amp;$B$212,S123:S192,"&lt;"&amp;$B$213))</f>
        <v/>
      </c>
      <c r="T196" s="205">
        <f>IF(T$193="","",COUNTIFS(T$123:T$192,"&gt;="&amp;$B$212,T123:T192,"&lt;"&amp;$B$213))</f>
        <v/>
      </c>
      <c r="U196" s="205">
        <f>IF(U$193="","",COUNTIFS(U$123:U$192,"&gt;="&amp;$B$212,U123:U192,"&lt;"&amp;$B$213))</f>
        <v/>
      </c>
      <c r="V196" s="205">
        <f>IF(V$193="","",COUNTIFS(V$123:V$192,"&gt;="&amp;$B$212,V123:V192,"&lt;"&amp;$B$213))</f>
        <v/>
      </c>
      <c r="W196" s="206">
        <f>IF($W$193="","",SUM(B196:V196))</f>
        <v/>
      </c>
      <c r="X196" s="209" t="inlineStr">
        <is>
          <t>Nearly Proficient</t>
        </is>
      </c>
    </row>
    <row r="197" customFormat="1" s="69">
      <c r="A197" s="208" t="inlineStr">
        <is>
          <t>Low Proficient (16 - 30)</t>
        </is>
      </c>
      <c r="B197" s="205">
        <f>IF(B$193="","",COUNTIFS(B$123:B$192,"&gt;="&amp;$B$211,B123:B192,"&lt;"&amp;$B$212))</f>
        <v/>
      </c>
      <c r="C197" s="205">
        <f>IF(C$193="","",COUNTIFS(C$123:C$192,"&gt;="&amp;$B$211,C123:C192,"&lt;"&amp;$B$212))</f>
        <v/>
      </c>
      <c r="D197" s="205">
        <f>IF(D$193="","",COUNTIFS(D$123:D$192,"&gt;="&amp;$B$211,D123:D192,"&lt;"&amp;$B$212))</f>
        <v/>
      </c>
      <c r="E197" s="205">
        <f>IF(E$193="","",COUNTIFS(E$123:E$192,"&gt;="&amp;$B$211,E123:E192,"&lt;"&amp;$B$212))</f>
        <v/>
      </c>
      <c r="F197" s="205">
        <f>IF(F$193="","",COUNTIFS(F$123:F$192,"&gt;="&amp;$B$211,F123:F192,"&lt;"&amp;$B$212))</f>
        <v/>
      </c>
      <c r="G197" s="205">
        <f>IF(G$193="","",COUNTIFS(G$123:G$192,"&gt;="&amp;$B$211,G123:G192,"&lt;"&amp;$B$212))</f>
        <v/>
      </c>
      <c r="H197" s="205">
        <f>IF(H$193="","",COUNTIFS(H$123:H$192,"&gt;="&amp;$B$211,H123:H192,"&lt;"&amp;$B$212))</f>
        <v/>
      </c>
      <c r="I197" s="205">
        <f>IF(I$193="","",COUNTIFS(I$123:I$192,"&gt;="&amp;$B$211,I123:I192,"&lt;"&amp;$B$212))</f>
        <v/>
      </c>
      <c r="J197" s="205">
        <f>IF(J$193="","",COUNTIFS(J$123:J$192,"&gt;="&amp;$B$211,J123:J192,"&lt;"&amp;$B$212))</f>
        <v/>
      </c>
      <c r="K197" s="205">
        <f>IF(K$193="","",COUNTIFS(K$123:K$192,"&gt;="&amp;$B$211,K123:K192,"&lt;"&amp;$B$212))</f>
        <v/>
      </c>
      <c r="L197" s="205">
        <f>IF(L$193="","",COUNTIFS(L$123:L$192,"&gt;="&amp;$B$211,L123:L192,"&lt;"&amp;$B$212))</f>
        <v/>
      </c>
      <c r="M197" s="205">
        <f>IF(M$193="","",COUNTIFS(M$123:M$192,"&gt;="&amp;$B$211,M123:M192,"&lt;"&amp;$B$212))</f>
        <v/>
      </c>
      <c r="N197" s="205">
        <f>IF(N$193="","",COUNTIFS(N$123:N$192,"&gt;="&amp;$B$211,N123:N192,"&lt;"&amp;$B$212))</f>
        <v/>
      </c>
      <c r="O197" s="205">
        <f>IF(O$193="","",COUNTIFS(O$123:O$192,"&gt;="&amp;$B$211,O123:O192,"&lt;"&amp;$B$212))</f>
        <v/>
      </c>
      <c r="P197" s="205">
        <f>IF(P$193="","",COUNTIFS(P$123:P$192,"&gt;="&amp;$B$211,P123:P192,"&lt;"&amp;$B$212))</f>
        <v/>
      </c>
      <c r="Q197" s="205">
        <f>IF(Q$193="","",COUNTIFS(Q$123:Q$192,"&gt;="&amp;$B$211,Q123:Q192,"&lt;"&amp;$B$212))</f>
        <v/>
      </c>
      <c r="R197" s="205">
        <f>IF(R$193="","",COUNTIFS(R$123:R$192,"&gt;="&amp;$B$211,R123:R192,"&lt;"&amp;$B$212))</f>
        <v/>
      </c>
      <c r="S197" s="205">
        <f>IF(S$193="","",COUNTIFS(S$123:S$192,"&gt;="&amp;$B$211,S123:S192,"&lt;"&amp;$B$212))</f>
        <v/>
      </c>
      <c r="T197" s="205">
        <f>IF(T$193="","",COUNTIFS(T$123:T$192,"&gt;="&amp;$B$211,T123:T192,"&lt;"&amp;$B$212))</f>
        <v/>
      </c>
      <c r="U197" s="205">
        <f>IF(U$193="","",COUNTIFS(U$123:U$192,"&gt;="&amp;$B$211,U123:U192,"&lt;"&amp;$B$212))</f>
        <v/>
      </c>
      <c r="V197" s="205">
        <f>IF(V$193="","",COUNTIFS(V$123:V$192,"&gt;="&amp;$B$211,V123:V192,"&lt;"&amp;$B$212))</f>
        <v/>
      </c>
      <c r="W197" s="206">
        <f>IF($W$193="","",SUM(B197:V197))</f>
        <v/>
      </c>
      <c r="X197" s="209" t="inlineStr">
        <is>
          <t>Low Proficient</t>
        </is>
      </c>
    </row>
    <row r="198" ht="29.25" customFormat="1" customHeight="1" s="69">
      <c r="A198" s="208" t="inlineStr">
        <is>
          <t>Not Proficient (0 - 15)</t>
        </is>
      </c>
      <c r="B198" s="205">
        <f>IF(B$193="","",COUNTIFS(B$123:B$192,"&gt;="&amp;$B$210,B123:B192,"&lt;"&amp;$B$211))</f>
        <v/>
      </c>
      <c r="C198" s="205">
        <f>IF(C$193="","",COUNTIFS(C$123:C$192,"&gt;="&amp;$B$210,C123:C192,"&lt;"&amp;$B$211))</f>
        <v/>
      </c>
      <c r="D198" s="205">
        <f>IF(D$193="","",COUNTIFS(D$123:D$192,"&gt;="&amp;$B$210,D123:D192,"&lt;"&amp;$B$211))</f>
        <v/>
      </c>
      <c r="E198" s="205">
        <f>IF(E$193="","",COUNTIFS(E$123:E$192,"&gt;="&amp;$B$210,E123:E192,"&lt;"&amp;$B$211))</f>
        <v/>
      </c>
      <c r="F198" s="205">
        <f>IF(F$193="","",COUNTIFS(F$123:F$192,"&gt;="&amp;$B$210,F123:F192,"&lt;"&amp;$B$211))</f>
        <v/>
      </c>
      <c r="G198" s="205">
        <f>IF(G$193="","",COUNTIFS(G$123:G$192,"&gt;="&amp;$B$210,G123:G192,"&lt;"&amp;$B$211))</f>
        <v/>
      </c>
      <c r="H198" s="205">
        <f>IF(H$193="","",COUNTIFS(H$123:H$192,"&gt;="&amp;$B$210,H123:H192,"&lt;"&amp;$B$211))</f>
        <v/>
      </c>
      <c r="I198" s="205">
        <f>IF(I$193="","",COUNTIFS(I$123:I$192,"&gt;="&amp;$B$210,I123:I192,"&lt;"&amp;$B$211))</f>
        <v/>
      </c>
      <c r="J198" s="205">
        <f>IF(J$193="","",COUNTIFS(J$123:J$192,"&gt;="&amp;$B$210,J123:J192,"&lt;"&amp;$B$211))</f>
        <v/>
      </c>
      <c r="K198" s="205">
        <f>IF(K$193="","",COUNTIFS(K$123:K$192,"&gt;="&amp;$B$210,K123:K192,"&lt;"&amp;$B$211))</f>
        <v/>
      </c>
      <c r="L198" s="205">
        <f>IF(L$193="","",COUNTIFS(L$123:L$192,"&gt;="&amp;$B$210,L123:L192,"&lt;"&amp;$B$211))</f>
        <v/>
      </c>
      <c r="M198" s="205">
        <f>IF(M$193="","",COUNTIFS(M$123:M$192,"&gt;="&amp;$B$210,M123:M192,"&lt;"&amp;$B$211))</f>
        <v/>
      </c>
      <c r="N198" s="205">
        <f>IF(N$193="","",COUNTIFS(N$123:N$192,"&gt;="&amp;$B$210,N123:N192,"&lt;"&amp;$B$211))</f>
        <v/>
      </c>
      <c r="O198" s="205">
        <f>IF(O$193="","",COUNTIFS(O$123:O$192,"&gt;="&amp;$B$210,O123:O192,"&lt;"&amp;$B$211))</f>
        <v/>
      </c>
      <c r="P198" s="205">
        <f>IF(P$193="","",COUNTIFS(P$123:P$192,"&gt;="&amp;$B$210,P123:P192,"&lt;"&amp;$B$211))</f>
        <v/>
      </c>
      <c r="Q198" s="205">
        <f>IF(Q$193="","",COUNTIFS(Q$123:Q$192,"&gt;="&amp;$B$210,Q123:Q192,"&lt;"&amp;$B$211))</f>
        <v/>
      </c>
      <c r="R198" s="205">
        <f>IF(R$193="","",COUNTIFS(R$123:R$192,"&gt;="&amp;$B$210,R123:R192,"&lt;"&amp;$B$211))</f>
        <v/>
      </c>
      <c r="S198" s="205">
        <f>IF(S$193="","",COUNTIFS(S$123:S$192,"&gt;="&amp;$B$210,S123:S192,"&lt;"&amp;$B$211))</f>
        <v/>
      </c>
      <c r="T198" s="205">
        <f>IF(T$193="","",COUNTIFS(T$123:T$192,"&gt;="&amp;$B$210,T123:T192,"&lt;"&amp;$B$211))</f>
        <v/>
      </c>
      <c r="U198" s="205">
        <f>IF(U$193="","",COUNTIFS(U$123:U$192,"&gt;="&amp;$B$210,U123:U192,"&lt;"&amp;$B$211))</f>
        <v/>
      </c>
      <c r="V198" s="205">
        <f>IF(V$193="","",COUNTIFS(V$123:V$192,"&gt;="&amp;$B$210,V123:V192,"&lt;"&amp;$B$211))</f>
        <v/>
      </c>
      <c r="W198" s="206">
        <f>IF($W$193="","",SUM(B198:V198))</f>
        <v/>
      </c>
      <c r="X198" s="209" t="inlineStr">
        <is>
          <t>Not Proficient</t>
        </is>
      </c>
    </row>
    <row r="199" customFormat="1" s="69">
      <c r="A199" s="210" t="inlineStr">
        <is>
          <t>Sum of scores</t>
        </is>
      </c>
      <c r="B199" s="211">
        <f>IF(B193="","",SUM(B123:B192))</f>
        <v/>
      </c>
      <c r="C199" s="211">
        <f>IF(C193="","",SUM(C123:C192))</f>
        <v/>
      </c>
      <c r="D199" s="211">
        <f>IF(D193="","",SUM(D123:D192))</f>
        <v/>
      </c>
      <c r="E199" s="211">
        <f>IF(E193="","",SUM(E123:E192))</f>
        <v/>
      </c>
      <c r="F199" s="211">
        <f>IF(F193="","",SUM(F123:F192))</f>
        <v/>
      </c>
      <c r="G199" s="211">
        <f>IF(G193="","",SUM(G123:G192))</f>
        <v/>
      </c>
      <c r="H199" s="211">
        <f>IF(H193="","",SUM(H123:H192))</f>
        <v/>
      </c>
      <c r="I199" s="211">
        <f>IF(I193="","",SUM(I123:I192))</f>
        <v/>
      </c>
      <c r="J199" s="211">
        <f>IF(J193="","",SUM(J123:J192))</f>
        <v/>
      </c>
      <c r="K199" s="211">
        <f>IF(K193="","",SUM(K123:K192))</f>
        <v/>
      </c>
      <c r="L199" s="211">
        <f>IF(L193="","",SUM(L123:L192))</f>
        <v/>
      </c>
      <c r="M199" s="211">
        <f>IF(M193="","",SUM(M123:M192))</f>
        <v/>
      </c>
      <c r="N199" s="211">
        <f>IF(N193="","",SUM(N123:N192))</f>
        <v/>
      </c>
      <c r="O199" s="211">
        <f>IF(O193="","",SUM(O123:O192))</f>
        <v/>
      </c>
      <c r="P199" s="211">
        <f>IF(P193="","",SUM(P123:P192))</f>
        <v/>
      </c>
      <c r="Q199" s="211">
        <f>IF(Q193="","",SUM(Q123:Q192))</f>
        <v/>
      </c>
      <c r="R199" s="211">
        <f>IF(R193="","",SUM(R123:R192))</f>
        <v/>
      </c>
      <c r="S199" s="211">
        <f>IF(S193="","",SUM(S123:S192))</f>
        <v/>
      </c>
      <c r="T199" s="211">
        <f>IF(T193="","",SUM(T123:T192))</f>
        <v/>
      </c>
      <c r="U199" s="211">
        <f>IF(U193="","",SUM(U123:U192))</f>
        <v/>
      </c>
      <c r="V199" s="211">
        <f>IF(V193="","",SUM(V123:V192))</f>
        <v/>
      </c>
      <c r="W199" s="206">
        <f>IF($W$193="","",SUM(B199:V199))</f>
        <v/>
      </c>
      <c r="X199" s="209" t="inlineStr">
        <is>
          <t>Sum of scores</t>
        </is>
      </c>
    </row>
    <row r="200" ht="35.25" customFormat="1" customHeight="1" s="69">
      <c r="A200" s="210" t="inlineStr">
        <is>
          <t>Mean</t>
        </is>
      </c>
      <c r="B200" s="212">
        <f>IFERROR(B199/B193,"")</f>
        <v/>
      </c>
      <c r="C200" s="212">
        <f>IFERROR(C199/C193,"")</f>
        <v/>
      </c>
      <c r="D200" s="212">
        <f>IFERROR(D199/D193,"")</f>
        <v/>
      </c>
      <c r="E200" s="212">
        <f>IFERROR(E199/E193,"")</f>
        <v/>
      </c>
      <c r="F200" s="212">
        <f>IFERROR(F199/F193,"")</f>
        <v/>
      </c>
      <c r="G200" s="212">
        <f>IFERROR(G199/G193,"")</f>
        <v/>
      </c>
      <c r="H200" s="212">
        <f>IFERROR(H199/H193,"")</f>
        <v/>
      </c>
      <c r="I200" s="212">
        <f>IFERROR(I199/I193,"")</f>
        <v/>
      </c>
      <c r="J200" s="212">
        <f>IFERROR(J199/J193,"")</f>
        <v/>
      </c>
      <c r="K200" s="212">
        <f>IFERROR(K199/K193,"")</f>
        <v/>
      </c>
      <c r="L200" s="212">
        <f>IFERROR(L199/L193,"")</f>
        <v/>
      </c>
      <c r="M200" s="212">
        <f>IFERROR(M199/M193,"")</f>
        <v/>
      </c>
      <c r="N200" s="212">
        <f>IFERROR(N199/N193,"")</f>
        <v/>
      </c>
      <c r="O200" s="212">
        <f>IFERROR(O199/O193,"")</f>
        <v/>
      </c>
      <c r="P200" s="212">
        <f>IFERROR(P199/P193,"")</f>
        <v/>
      </c>
      <c r="Q200" s="212">
        <f>IFERROR(Q199/Q193,"")</f>
        <v/>
      </c>
      <c r="R200" s="212">
        <f>IFERROR(R199/R193,"")</f>
        <v/>
      </c>
      <c r="S200" s="212">
        <f>IFERROR(S199/S193,"")</f>
        <v/>
      </c>
      <c r="T200" s="212">
        <f>IFERROR(T199/T193,"")</f>
        <v/>
      </c>
      <c r="U200" s="212">
        <f>IFERROR(U199/U193,"")</f>
        <v/>
      </c>
      <c r="V200" s="212">
        <f>IFERROR(V199/V193,"")</f>
        <v/>
      </c>
      <c r="W200" s="213">
        <f>IFERROR(SUM(B123:V192)/W193,"")</f>
        <v/>
      </c>
      <c r="X200" s="209" t="inlineStr">
        <is>
          <t>Mean</t>
        </is>
      </c>
    </row>
    <row r="201" ht="35.25" customFormat="1" customHeight="1" s="69">
      <c r="A201" s="210" t="inlineStr">
        <is>
          <t>SD</t>
        </is>
      </c>
      <c r="B201" s="212">
        <f>IFERROR(STDEV(B123:B192),"")</f>
        <v/>
      </c>
      <c r="C201" s="212">
        <f>IFERROR(STDEV(C123:C192),"")</f>
        <v/>
      </c>
      <c r="D201" s="212">
        <f>IFERROR(STDEV(D123:D192),"")</f>
        <v/>
      </c>
      <c r="E201" s="212">
        <f>IFERROR(STDEV(E123:E192),"")</f>
        <v/>
      </c>
      <c r="F201" s="212">
        <f>IFERROR(STDEV(F123:F192),"")</f>
        <v/>
      </c>
      <c r="G201" s="212">
        <f>IFERROR(STDEV(G123:G192),"")</f>
        <v/>
      </c>
      <c r="H201" s="212">
        <f>IFERROR(STDEV(H123:H192),"")</f>
        <v/>
      </c>
      <c r="I201" s="212">
        <f>IFERROR(STDEV(I123:I192),"")</f>
        <v/>
      </c>
      <c r="J201" s="212">
        <f>IFERROR(STDEV(J123:J192),"")</f>
        <v/>
      </c>
      <c r="K201" s="212">
        <f>IFERROR(STDEV(K123:K192),"")</f>
        <v/>
      </c>
      <c r="L201" s="212">
        <f>IFERROR(STDEV(L123:L192),"")</f>
        <v/>
      </c>
      <c r="M201" s="212">
        <f>IFERROR(STDEV(M123:M192),"")</f>
        <v/>
      </c>
      <c r="N201" s="212">
        <f>IFERROR(STDEV(N123:N192),"")</f>
        <v/>
      </c>
      <c r="O201" s="212">
        <f>IFERROR(STDEV(O123:O192),"")</f>
        <v/>
      </c>
      <c r="P201" s="212">
        <f>IFERROR(STDEV(P123:P192),"")</f>
        <v/>
      </c>
      <c r="Q201" s="212">
        <f>IFERROR(STDEV(Q123:Q192),"")</f>
        <v/>
      </c>
      <c r="R201" s="212">
        <f>IFERROR(STDEV(R123:R192),"")</f>
        <v/>
      </c>
      <c r="S201" s="212">
        <f>IFERROR(STDEV(S123:S192),"")</f>
        <v/>
      </c>
      <c r="T201" s="212">
        <f>IFERROR(STDEV(T123:T192),"")</f>
        <v/>
      </c>
      <c r="U201" s="212">
        <f>IFERROR(STDEV(U123:U192),"")</f>
        <v/>
      </c>
      <c r="V201" s="212">
        <f>IFERROR(STDEV(V123:V192),"")</f>
        <v/>
      </c>
      <c r="W201" s="213">
        <f>IFERROR(STDEV(B123:V192),"")</f>
        <v/>
      </c>
      <c r="X201" s="209" t="inlineStr">
        <is>
          <t>SD</t>
        </is>
      </c>
    </row>
    <row r="202" ht="39.75" customFormat="1" customHeight="1" s="69">
      <c r="A202" s="214" t="inlineStr">
        <is>
          <t>MPS</t>
        </is>
      </c>
      <c r="B202" s="215">
        <f>IFERROR((B200/B216)*100,"")</f>
        <v/>
      </c>
      <c r="C202" s="215">
        <f>IFERROR((C200/C216)*100,"")</f>
        <v/>
      </c>
      <c r="D202" s="215">
        <f>IFERROR((D200/D216)*100,"")</f>
        <v/>
      </c>
      <c r="E202" s="215">
        <f>IFERROR((E200/E216)*100,"")</f>
        <v/>
      </c>
      <c r="F202" s="215">
        <f>IFERROR((F200/F216)*100,"")</f>
        <v/>
      </c>
      <c r="G202" s="215">
        <f>IFERROR((G200/G216)*100,"")</f>
        <v/>
      </c>
      <c r="H202" s="215">
        <f>IFERROR((H200/H216)*100,"")</f>
        <v/>
      </c>
      <c r="I202" s="215">
        <f>IFERROR((I200/I216)*100,"")</f>
        <v/>
      </c>
      <c r="J202" s="215">
        <f>IFERROR((J200/J216)*100,"")</f>
        <v/>
      </c>
      <c r="K202" s="215">
        <f>IFERROR((K200/K216)*100,"")</f>
        <v/>
      </c>
      <c r="L202" s="215">
        <f>IFERROR((L200/L216)*100,"")</f>
        <v/>
      </c>
      <c r="M202" s="215">
        <f>IFERROR((M200/M216)*100,"")</f>
        <v/>
      </c>
      <c r="N202" s="215">
        <f>IFERROR((N200/N216)*100,"")</f>
        <v/>
      </c>
      <c r="O202" s="215">
        <f>IFERROR((O200/O216)*100,"")</f>
        <v/>
      </c>
      <c r="P202" s="215">
        <f>IFERROR((P200/P216)*100,"")</f>
        <v/>
      </c>
      <c r="Q202" s="215">
        <f>IFERROR((Q200/Q216)*100,"")</f>
        <v/>
      </c>
      <c r="R202" s="215">
        <f>IFERROR((R200/R216)*100,"")</f>
        <v/>
      </c>
      <c r="S202" s="215">
        <f>IFERROR((S200/S216)*100,"")</f>
        <v/>
      </c>
      <c r="T202" s="215">
        <f>IFERROR((T200/T216)*100,"")</f>
        <v/>
      </c>
      <c r="U202" s="215">
        <f>IFERROR((U200/U216)*100,"")</f>
        <v/>
      </c>
      <c r="V202" s="215">
        <f>IFERROR((V200/V216)*100,"")</f>
        <v/>
      </c>
      <c r="W202" s="213">
        <f>IFERROR(W200/W216*100,"")</f>
        <v/>
      </c>
      <c r="X202" s="209" t="inlineStr">
        <is>
          <t>MPS</t>
        </is>
      </c>
    </row>
    <row r="203" ht="40" customFormat="1" customHeight="1" s="69">
      <c r="A203" s="216" t="inlineStr">
        <is>
          <t># of Examinees who got 75% and above</t>
        </is>
      </c>
      <c r="B203" s="217">
        <f>IF(B193="","",COUNTIFS(B123:B192,"&gt;="&amp;$B$213))</f>
        <v/>
      </c>
      <c r="C203" s="217">
        <f>IF(C193="","",COUNTIFS(C123:C192,"&gt;="&amp;$B$213))</f>
        <v/>
      </c>
      <c r="D203" s="217">
        <f>IF(D193="","",COUNTIFS(D123:D192,"&gt;="&amp;$B$213))</f>
        <v/>
      </c>
      <c r="E203" s="217">
        <f>IF(E193="","",COUNTIFS(E123:E192,"&gt;="&amp;$B$213))</f>
        <v/>
      </c>
      <c r="F203" s="217">
        <f>IF(F193="","",COUNTIFS(F123:F192,"&gt;="&amp;$B$213))</f>
        <v/>
      </c>
      <c r="G203" s="217">
        <f>IF(G193="","",COUNTIFS(G123:G192,"&gt;="&amp;$B$213))</f>
        <v/>
      </c>
      <c r="H203" s="217">
        <f>IF(H193="","",COUNTIFS(H123:H192,"&gt;="&amp;$B$213))</f>
        <v/>
      </c>
      <c r="I203" s="217">
        <f>IF(I193="","",COUNTIFS(I123:I192,"&gt;="&amp;$B$213))</f>
        <v/>
      </c>
      <c r="J203" s="217">
        <f>IF(J193="","",COUNTIFS(J123:J192,"&gt;="&amp;$B$213))</f>
        <v/>
      </c>
      <c r="K203" s="217">
        <f>IF(K193="","",COUNTIFS(K123:K192,"&gt;="&amp;$B$213))</f>
        <v/>
      </c>
      <c r="L203" s="217">
        <f>IF(L193="","",COUNTIFS(L123:L192,"&gt;="&amp;$B$213))</f>
        <v/>
      </c>
      <c r="M203" s="217">
        <f>IF(M193="","",COUNTIFS(M123:M192,"&gt;="&amp;$B$213))</f>
        <v/>
      </c>
      <c r="N203" s="217">
        <f>IF(N193="","",COUNTIFS(N123:N192,"&gt;="&amp;$B$213))</f>
        <v/>
      </c>
      <c r="O203" s="217">
        <f>IF(O193="","",COUNTIFS(O123:O192,"&gt;="&amp;$B$213))</f>
        <v/>
      </c>
      <c r="P203" s="217">
        <f>IF(P193="","",COUNTIFS(P123:P192,"&gt;="&amp;$B$213))</f>
        <v/>
      </c>
      <c r="Q203" s="217">
        <f>IF(Q193="","",COUNTIFS(Q123:Q192,"&gt;="&amp;$B$213))</f>
        <v/>
      </c>
      <c r="R203" s="217">
        <f>IF(R193="","",COUNTIFS(R123:R192,"&gt;="&amp;$B$213))</f>
        <v/>
      </c>
      <c r="S203" s="217">
        <f>IF(S193="","",COUNTIFS(S123:S192,"&gt;="&amp;$B$213))</f>
        <v/>
      </c>
      <c r="T203" s="217">
        <f>IF(T193="","",COUNTIFS(T123:T192,"&gt;="&amp;$B$213))</f>
        <v/>
      </c>
      <c r="U203" s="217">
        <f>IF(U193="","",COUNTIFS(U123:U192,"&gt;="&amp;$B$213))</f>
        <v/>
      </c>
      <c r="V203" s="217">
        <f>IF(V193="","",COUNTIFS(V123:V192,"&gt;="&amp;$B$213))</f>
        <v/>
      </c>
      <c r="W203" s="218">
        <f>IF($W$193="","",SUM(B204:V204))</f>
        <v/>
      </c>
      <c r="X203" s="219" t="inlineStr">
        <is>
          <t># of Examinees who got 75% and above</t>
        </is>
      </c>
    </row>
    <row r="204" ht="30.75" customFormat="1" customHeight="1" s="69">
      <c r="A204" s="216" t="inlineStr">
        <is>
          <t># of Examinees who got below 75%</t>
        </is>
      </c>
      <c r="B204" s="217">
        <f>IF(B193="","",COUNTIFS(B123:B192,"&lt;"&amp;$B$213))</f>
        <v/>
      </c>
      <c r="C204" s="217">
        <f>IF(C193="","",COUNTIFS(C123:C192,"&lt;"&amp;$B$213))</f>
        <v/>
      </c>
      <c r="D204" s="217">
        <f>IF(D193="","",COUNTIFS(D123:D192,"&lt;"&amp;$B$213))</f>
        <v/>
      </c>
      <c r="E204" s="217">
        <f>IF(E193="","",COUNTIFS(E123:E192,"&lt;"&amp;$B$213))</f>
        <v/>
      </c>
      <c r="F204" s="217">
        <f>IF(F193="","",COUNTIFS(F123:F192,"&lt;"&amp;$B$213))</f>
        <v/>
      </c>
      <c r="G204" s="217">
        <f>IF(G193="","",COUNTIFS(G123:G192,"&lt;"&amp;$B$213))</f>
        <v/>
      </c>
      <c r="H204" s="217">
        <f>IF(H193="","",COUNTIFS(H123:H192,"&lt;"&amp;$B$213))</f>
        <v/>
      </c>
      <c r="I204" s="217">
        <f>IF(I193="","",COUNTIFS(I123:I192,"&lt;"&amp;$B$213))</f>
        <v/>
      </c>
      <c r="J204" s="217">
        <f>IF(J193="","",COUNTIFS(J123:J192,"&lt;"&amp;$B$213))</f>
        <v/>
      </c>
      <c r="K204" s="217">
        <f>IF(K193="","",COUNTIFS(K123:K192,"&lt;"&amp;$B$213))</f>
        <v/>
      </c>
      <c r="L204" s="217">
        <f>IF(L193="","",COUNTIFS(L123:L192,"&lt;"&amp;$B$213))</f>
        <v/>
      </c>
      <c r="M204" s="217">
        <f>IF(M193="","",COUNTIFS(M123:M192,"&lt;"&amp;$B$213))</f>
        <v/>
      </c>
      <c r="N204" s="217">
        <f>IF(N193="","",COUNTIFS(N123:N192,"&lt;"&amp;$B$213))</f>
        <v/>
      </c>
      <c r="O204" s="217">
        <f>IF(O193="","",COUNTIFS(O123:O192,"&lt;"&amp;$B$213))</f>
        <v/>
      </c>
      <c r="P204" s="217">
        <f>IF(P193="","",COUNTIFS(P123:P192,"&lt;"&amp;$B$213))</f>
        <v/>
      </c>
      <c r="Q204" s="217">
        <f>IF(Q193="","",COUNTIFS(Q123:Q192,"&lt;"&amp;$B$213))</f>
        <v/>
      </c>
      <c r="R204" s="217">
        <f>IF(R193="","",COUNTIFS(R123:R192,"&lt;"&amp;$B$213))</f>
        <v/>
      </c>
      <c r="S204" s="217">
        <f>IF(S193="","",COUNTIFS(S123:S192,"&lt;"&amp;$B$213))</f>
        <v/>
      </c>
      <c r="T204" s="217">
        <f>IF(T193="","",COUNTIFS(T123:T192,"&lt;"&amp;$B$213))</f>
        <v/>
      </c>
      <c r="U204" s="217">
        <f>IF(U193="","",COUNTIFS(U123:U192,"&lt;"&amp;$B$213))</f>
        <v/>
      </c>
      <c r="V204" s="217">
        <f>IF(V193="","",COUNTIFS(V123:V192,"&lt;"&amp;$B$213))</f>
        <v/>
      </c>
      <c r="W204" s="218">
        <f>IF($W$193="","",SUM(B205:V205))</f>
        <v/>
      </c>
      <c r="X204" s="219" t="inlineStr">
        <is>
          <t># of Examinees who got below 75%</t>
        </is>
      </c>
    </row>
    <row r="205" ht="15" customFormat="1" customHeight="1" s="69">
      <c r="A205" s="220" t="inlineStr">
        <is>
          <t>*HS - HIGHEST SCORE</t>
        </is>
      </c>
      <c r="B205" s="221">
        <f>IF(B193="","",MAX(B123:B192))</f>
        <v/>
      </c>
      <c r="C205" s="221">
        <f>IF(C193="","",MAX(C123:C192))</f>
        <v/>
      </c>
      <c r="D205" s="221">
        <f>IF(D193="","",MAX(D123:D192))</f>
        <v/>
      </c>
      <c r="E205" s="221">
        <f>IF(E193="","",MAX(E123:E192))</f>
        <v/>
      </c>
      <c r="F205" s="221">
        <f>IF(F193="","",MAX(F123:F192))</f>
        <v/>
      </c>
      <c r="G205" s="221">
        <f>IF(G193="","",MAX(G123:G192))</f>
        <v/>
      </c>
      <c r="H205" s="221">
        <f>IF(H193="","",MAX(H123:H192))</f>
        <v/>
      </c>
      <c r="I205" s="221">
        <f>IF(I193="","",MAX(I123:I192))</f>
        <v/>
      </c>
      <c r="J205" s="221">
        <f>IF(J193="","",MAX(J123:J192))</f>
        <v/>
      </c>
      <c r="K205" s="221">
        <f>IF(K193="","",MAX(K123:K192))</f>
        <v/>
      </c>
      <c r="L205" s="221">
        <f>IF(L193="","",MAX(L123:L192))</f>
        <v/>
      </c>
      <c r="M205" s="221">
        <f>IF(M193="","",MAX(M123:M192))</f>
        <v/>
      </c>
      <c r="N205" s="221">
        <f>IF(N193="","",MAX(N123:N192))</f>
        <v/>
      </c>
      <c r="O205" s="221">
        <f>IF(O193="","",MAX(O123:O192))</f>
        <v/>
      </c>
      <c r="P205" s="221">
        <f>IF(P193="","",MAX(P123:P192))</f>
        <v/>
      </c>
      <c r="Q205" s="221">
        <f>IF(Q193="","",MAX(Q123:Q192))</f>
        <v/>
      </c>
      <c r="R205" s="221">
        <f>IF(R193="","",MAX(R123:R192))</f>
        <v/>
      </c>
      <c r="S205" s="221">
        <f>IF(S193="","",MAX(S123:S192))</f>
        <v/>
      </c>
      <c r="T205" s="221">
        <f>IF(T193="","",MAX(T123:T192))</f>
        <v/>
      </c>
      <c r="U205" s="221">
        <f>IF(U193="","",MAX(U123:U192))</f>
        <v/>
      </c>
      <c r="V205" s="221">
        <f>IF(V193="","",MAX(V123:V192))</f>
        <v/>
      </c>
    </row>
    <row r="206" ht="15" customFormat="1" customHeight="1" s="69">
      <c r="A206" s="220" t="inlineStr">
        <is>
          <t>*LS - LOWEST SCORE</t>
        </is>
      </c>
      <c r="B206" s="221">
        <f>IF(B193="","",MIN(B123:B192))</f>
        <v/>
      </c>
      <c r="C206" s="221">
        <f>IF(C193="","",MIN(C123:C192))</f>
        <v/>
      </c>
      <c r="D206" s="221">
        <f>IF(D193="","",MIN(D123:D192))</f>
        <v/>
      </c>
      <c r="E206" s="221">
        <f>IF(E193="","",MIN(E123:E192))</f>
        <v/>
      </c>
      <c r="F206" s="221">
        <f>IF(F193="","",MIN(F123:F192))</f>
        <v/>
      </c>
      <c r="G206" s="221">
        <f>IF(G193="","",MIN(G123:G192))</f>
        <v/>
      </c>
      <c r="H206" s="221">
        <f>IF(H193="","",MIN(H123:H192))</f>
        <v/>
      </c>
      <c r="I206" s="221">
        <f>IF(I193="","",MIN(I123:I192))</f>
        <v/>
      </c>
      <c r="J206" s="221">
        <f>IF(J193="","",MIN(J123:J192))</f>
        <v/>
      </c>
      <c r="K206" s="221">
        <f>IF(K193="","",MIN(K123:K192))</f>
        <v/>
      </c>
      <c r="L206" s="221">
        <f>IF(L193="","",MIN(L123:L192))</f>
        <v/>
      </c>
      <c r="M206" s="221">
        <f>IF(M193="","",MIN(M123:M192))</f>
        <v/>
      </c>
      <c r="N206" s="221">
        <f>IF(N193="","",MIN(N123:N192))</f>
        <v/>
      </c>
      <c r="O206" s="221">
        <f>IF(O193="","",MIN(O123:O192))</f>
        <v/>
      </c>
      <c r="P206" s="221">
        <f>IF(P193="","",MIN(P123:P192))</f>
        <v/>
      </c>
      <c r="Q206" s="221">
        <f>IF(Q193="","",MIN(Q123:Q192))</f>
        <v/>
      </c>
      <c r="R206" s="221">
        <f>IF(R193="","",MIN(R123:R192))</f>
        <v/>
      </c>
      <c r="S206" s="221">
        <f>IF(S193="","",MIN(S123:S192))</f>
        <v/>
      </c>
      <c r="T206" s="221">
        <f>IF(T193="","",MIN(T123:T192))</f>
        <v/>
      </c>
      <c r="U206" s="221">
        <f>IF(U193="","",MIN(U123:U192))</f>
        <v/>
      </c>
      <c r="V206" s="221">
        <f>IF(V193="","",MIN(V123:V192))</f>
        <v/>
      </c>
    </row>
    <row r="207" ht="15" customHeight="1" s="1">
      <c r="A207" s="269" t="n"/>
    </row>
    <row r="208" ht="15" customHeight="1" s="1">
      <c r="A208" s="270" t="inlineStr">
        <is>
          <t>KS4</t>
        </is>
      </c>
      <c r="B208" s="271" t="inlineStr">
        <is>
          <t>Legend</t>
        </is>
      </c>
      <c r="C208" s="271" t="n"/>
      <c r="D208" s="271" t="n"/>
      <c r="E208" s="271" t="n"/>
      <c r="F208" s="271" t="n"/>
    </row>
    <row r="209" ht="15" customHeight="1" s="1">
      <c r="A209" s="271" t="n"/>
      <c r="B209" s="458" t="inlineStr">
        <is>
          <t>Scores</t>
        </is>
      </c>
      <c r="C209" s="459" t="n"/>
      <c r="D209" s="460" t="n"/>
      <c r="E209" s="229" t="inlineStr">
        <is>
          <t>Proficiency Level</t>
        </is>
      </c>
      <c r="F209" s="461" t="n"/>
    </row>
    <row r="210" ht="15" customHeight="1" s="1">
      <c r="A210" s="271" t="n"/>
      <c r="B210" s="230" t="n">
        <v>0</v>
      </c>
      <c r="C210" s="231" t="inlineStr">
        <is>
          <t>to</t>
        </is>
      </c>
      <c r="D210" s="232" t="n">
        <v>15</v>
      </c>
      <c r="E210" s="234" t="inlineStr">
        <is>
          <t>Not Proficient</t>
        </is>
      </c>
      <c r="F210" s="462" t="n"/>
    </row>
    <row r="211" ht="15" customHeight="1" s="1">
      <c r="A211" s="271" t="n"/>
      <c r="B211" s="230" t="n">
        <v>16</v>
      </c>
      <c r="C211" s="231" t="inlineStr">
        <is>
          <t>to</t>
        </is>
      </c>
      <c r="D211" s="232" t="n">
        <v>30</v>
      </c>
      <c r="E211" s="234" t="inlineStr">
        <is>
          <t>Low Proficient</t>
        </is>
      </c>
      <c r="F211" s="462" t="n"/>
    </row>
    <row r="212" ht="15" customHeight="1" s="1">
      <c r="A212" s="271" t="n"/>
      <c r="B212" s="230" t="n">
        <v>31</v>
      </c>
      <c r="C212" s="231" t="inlineStr">
        <is>
          <t>to</t>
        </is>
      </c>
      <c r="D212" s="232" t="n">
        <v>45</v>
      </c>
      <c r="E212" s="234" t="inlineStr">
        <is>
          <t>Nearly Proficient</t>
        </is>
      </c>
      <c r="F212" s="462" t="n"/>
    </row>
    <row r="213" ht="15" customHeight="1" s="1">
      <c r="A213" s="272" t="n"/>
      <c r="B213" s="230" t="n">
        <v>46</v>
      </c>
      <c r="C213" s="231" t="inlineStr">
        <is>
          <t>to</t>
        </is>
      </c>
      <c r="D213" s="232" t="n">
        <v>54</v>
      </c>
      <c r="E213" s="234" t="inlineStr">
        <is>
          <t>Proficient</t>
        </is>
      </c>
      <c r="F213" s="462" t="n"/>
    </row>
    <row r="214" ht="15" customHeight="1" s="1">
      <c r="A214" s="272" t="n"/>
      <c r="B214" s="236" t="n">
        <v>55</v>
      </c>
      <c r="C214" s="237" t="inlineStr">
        <is>
          <t>to</t>
        </is>
      </c>
      <c r="D214" s="238" t="n">
        <v>60</v>
      </c>
      <c r="E214" s="240" t="inlineStr">
        <is>
          <t>Highly Proficient</t>
        </is>
      </c>
      <c r="F214" s="463" t="n"/>
    </row>
    <row r="215" ht="15" customHeight="1" s="1">
      <c r="B215" s="89" t="n"/>
      <c r="C215" s="89" t="n"/>
      <c r="D215" s="89" t="n"/>
    </row>
    <row r="216" hidden="1" outlineLevel="1" ht="15" customHeight="1" s="1">
      <c r="B216" s="89">
        <f>$B$7</f>
        <v/>
      </c>
      <c r="C216" s="89">
        <f>$B$7</f>
        <v/>
      </c>
      <c r="D216" s="89">
        <f>$B$7</f>
        <v/>
      </c>
      <c r="E216" s="89">
        <f>$B$7</f>
        <v/>
      </c>
      <c r="F216" s="89">
        <f>$B$7</f>
        <v/>
      </c>
      <c r="G216" s="89">
        <f>$B$7</f>
        <v/>
      </c>
      <c r="H216" s="89">
        <f>$B$7</f>
        <v/>
      </c>
      <c r="I216" s="89">
        <f>$B$7</f>
        <v/>
      </c>
      <c r="J216" s="89">
        <f>$B$7</f>
        <v/>
      </c>
      <c r="K216" s="89">
        <f>$B$7</f>
        <v/>
      </c>
      <c r="L216" s="89">
        <f>$B$7</f>
        <v/>
      </c>
      <c r="M216" s="89">
        <f>$B$7</f>
        <v/>
      </c>
      <c r="N216" s="89">
        <f>$B$7</f>
        <v/>
      </c>
      <c r="O216" s="89">
        <f>$B$7</f>
        <v/>
      </c>
      <c r="P216" s="89">
        <f>$B$7</f>
        <v/>
      </c>
      <c r="Q216" s="89">
        <f>$B$7</f>
        <v/>
      </c>
      <c r="R216" s="89">
        <f>$B$7</f>
        <v/>
      </c>
      <c r="S216" s="89">
        <f>$B$7</f>
        <v/>
      </c>
      <c r="T216" s="89">
        <f>$B$7</f>
        <v/>
      </c>
      <c r="U216" s="89">
        <f>$B$7</f>
        <v/>
      </c>
      <c r="V216" s="89">
        <f>$B$7</f>
        <v/>
      </c>
      <c r="W216" s="89" t="n">
        <v>60</v>
      </c>
    </row>
    <row r="217" hidden="1" outlineLevel="1" ht="15" customHeight="1" s="1">
      <c r="A217" s="89" t="inlineStr">
        <is>
          <t>HP</t>
        </is>
      </c>
      <c r="B217" s="241">
        <f>$B$214*B216</f>
        <v/>
      </c>
      <c r="C217" s="241">
        <f>$B$214*C216</f>
        <v/>
      </c>
      <c r="D217" s="241">
        <f>$B$214*D216</f>
        <v/>
      </c>
      <c r="E217" s="241">
        <f>$B$214*E216</f>
        <v/>
      </c>
      <c r="F217" s="241">
        <f>$B$214*F216</f>
        <v/>
      </c>
      <c r="G217" s="241">
        <f>$B$214*G216</f>
        <v/>
      </c>
      <c r="H217" s="241">
        <f>$B$214*H216</f>
        <v/>
      </c>
      <c r="I217" s="241">
        <f>$B$214*I216</f>
        <v/>
      </c>
      <c r="J217" s="241">
        <f>$B$214*J216</f>
        <v/>
      </c>
      <c r="K217" s="241">
        <f>$B$214*K216</f>
        <v/>
      </c>
      <c r="L217" s="241">
        <f>$B$214*L216</f>
        <v/>
      </c>
      <c r="M217" s="241">
        <f>$B$214*M216</f>
        <v/>
      </c>
      <c r="N217" s="241">
        <f>$B$214*N216</f>
        <v/>
      </c>
      <c r="O217" s="241">
        <f>$B$214*O216</f>
        <v/>
      </c>
      <c r="P217" s="241">
        <f>$B$214*P216</f>
        <v/>
      </c>
      <c r="Q217" s="241">
        <f>$B$214*Q216</f>
        <v/>
      </c>
      <c r="R217" s="241">
        <f>$B$214*R216</f>
        <v/>
      </c>
      <c r="S217" s="241">
        <f>$B$214*S216</f>
        <v/>
      </c>
      <c r="T217" s="241">
        <f>$B$214*T216</f>
        <v/>
      </c>
      <c r="U217" s="241">
        <f>$B$214*U216</f>
        <v/>
      </c>
      <c r="V217" s="241">
        <f>$B$214*V216</f>
        <v/>
      </c>
    </row>
    <row r="218" hidden="1" outlineLevel="1" ht="15" customHeight="1" s="1">
      <c r="A218" s="89" t="inlineStr">
        <is>
          <t>P</t>
        </is>
      </c>
      <c r="B218" s="241">
        <f>$B$213*B216</f>
        <v/>
      </c>
      <c r="C218" s="241">
        <f>$B$213*C216</f>
        <v/>
      </c>
      <c r="D218" s="241">
        <f>$B$213*D216</f>
        <v/>
      </c>
      <c r="E218" s="241">
        <f>$B$213*E216</f>
        <v/>
      </c>
      <c r="F218" s="241">
        <f>$B$213*F216</f>
        <v/>
      </c>
      <c r="G218" s="241">
        <f>$B$213*G216</f>
        <v/>
      </c>
      <c r="H218" s="241">
        <f>$B$213*H216</f>
        <v/>
      </c>
      <c r="I218" s="241">
        <f>$B$213*I216</f>
        <v/>
      </c>
      <c r="J218" s="241">
        <f>$B$213*J216</f>
        <v/>
      </c>
      <c r="K218" s="241">
        <f>$B$213*K216</f>
        <v/>
      </c>
      <c r="L218" s="241">
        <f>$B$213*L216</f>
        <v/>
      </c>
      <c r="M218" s="241">
        <f>$B$213*M216</f>
        <v/>
      </c>
      <c r="N218" s="241">
        <f>$B$213*N216</f>
        <v/>
      </c>
      <c r="O218" s="241">
        <f>$B$213*O216</f>
        <v/>
      </c>
      <c r="P218" s="241">
        <f>$B$213*P216</f>
        <v/>
      </c>
      <c r="Q218" s="241">
        <f>$B$213*Q216</f>
        <v/>
      </c>
      <c r="R218" s="241">
        <f>$B$213*R216</f>
        <v/>
      </c>
      <c r="S218" s="241">
        <f>$B$213*S216</f>
        <v/>
      </c>
      <c r="T218" s="241">
        <f>$B$213*T216</f>
        <v/>
      </c>
      <c r="U218" s="241">
        <f>$B$213*U216</f>
        <v/>
      </c>
      <c r="V218" s="241">
        <f>$B$213*V216</f>
        <v/>
      </c>
    </row>
    <row r="219" hidden="1" outlineLevel="1" ht="15" customHeight="1" s="1">
      <c r="A219" s="89" t="inlineStr">
        <is>
          <t>NP</t>
        </is>
      </c>
      <c r="B219" s="241">
        <f>$B$212*B216</f>
        <v/>
      </c>
      <c r="C219" s="241">
        <f>$B$212*C216</f>
        <v/>
      </c>
      <c r="D219" s="241">
        <f>$B$212*D216</f>
        <v/>
      </c>
      <c r="E219" s="241">
        <f>$B$212*E216</f>
        <v/>
      </c>
      <c r="F219" s="241">
        <f>$B$212*F216</f>
        <v/>
      </c>
      <c r="G219" s="241">
        <f>$B$212*G216</f>
        <v/>
      </c>
      <c r="H219" s="241">
        <f>$B$212*H216</f>
        <v/>
      </c>
      <c r="I219" s="241">
        <f>$B$212*I216</f>
        <v/>
      </c>
      <c r="J219" s="241">
        <f>$B$212*J216</f>
        <v/>
      </c>
      <c r="K219" s="241">
        <f>$B$212*K216</f>
        <v/>
      </c>
      <c r="L219" s="241">
        <f>$B$212*L216</f>
        <v/>
      </c>
      <c r="M219" s="241">
        <f>$B$212*M216</f>
        <v/>
      </c>
      <c r="N219" s="241">
        <f>$B$212*N216</f>
        <v/>
      </c>
      <c r="O219" s="241">
        <f>$B$212*O216</f>
        <v/>
      </c>
      <c r="P219" s="241">
        <f>$B$212*P216</f>
        <v/>
      </c>
      <c r="Q219" s="241">
        <f>$B$212*Q216</f>
        <v/>
      </c>
      <c r="R219" s="241">
        <f>$B$212*R216</f>
        <v/>
      </c>
      <c r="S219" s="241">
        <f>$B$212*S216</f>
        <v/>
      </c>
      <c r="T219" s="241">
        <f>$B$212*T216</f>
        <v/>
      </c>
      <c r="U219" s="241">
        <f>$B$212*U216</f>
        <v/>
      </c>
      <c r="V219" s="241">
        <f>$B$212*V216</f>
        <v/>
      </c>
    </row>
    <row r="220" hidden="1" outlineLevel="1" ht="15" customHeight="1" s="1">
      <c r="A220" s="89" t="inlineStr">
        <is>
          <t>LP</t>
        </is>
      </c>
      <c r="B220" s="241">
        <f>$B$211*B216</f>
        <v/>
      </c>
      <c r="C220" s="241">
        <f>$B$211*C216</f>
        <v/>
      </c>
      <c r="D220" s="241">
        <f>$B$211*D216</f>
        <v/>
      </c>
      <c r="E220" s="241">
        <f>$B$211*E216</f>
        <v/>
      </c>
      <c r="F220" s="241">
        <f>$B$211*F216</f>
        <v/>
      </c>
      <c r="G220" s="241">
        <f>$B$211*G216</f>
        <v/>
      </c>
      <c r="H220" s="241">
        <f>$B$211*H216</f>
        <v/>
      </c>
      <c r="I220" s="241">
        <f>$B$211*I216</f>
        <v/>
      </c>
      <c r="J220" s="241">
        <f>$B$211*J216</f>
        <v/>
      </c>
      <c r="K220" s="241">
        <f>$B$211*K216</f>
        <v/>
      </c>
      <c r="L220" s="241">
        <f>$B$211*L216</f>
        <v/>
      </c>
      <c r="M220" s="241">
        <f>$B$211*M216</f>
        <v/>
      </c>
      <c r="N220" s="241">
        <f>$B$211*N216</f>
        <v/>
      </c>
      <c r="O220" s="241">
        <f>$B$211*O216</f>
        <v/>
      </c>
      <c r="P220" s="241">
        <f>$B$211*P216</f>
        <v/>
      </c>
      <c r="Q220" s="241">
        <f>$B$211*Q216</f>
        <v/>
      </c>
      <c r="R220" s="241">
        <f>$B$211*R216</f>
        <v/>
      </c>
      <c r="S220" s="241">
        <f>$B$211*S216</f>
        <v/>
      </c>
      <c r="T220" s="241">
        <f>$B$211*T216</f>
        <v/>
      </c>
      <c r="U220" s="241">
        <f>$B$211*U216</f>
        <v/>
      </c>
      <c r="V220" s="241">
        <f>$B$211*V216</f>
        <v/>
      </c>
    </row>
    <row r="221" hidden="1" outlineLevel="1" ht="15" customHeight="1" s="1">
      <c r="A221" s="89" t="inlineStr">
        <is>
          <t>NP</t>
        </is>
      </c>
      <c r="B221" s="241">
        <f>$B$210*B216</f>
        <v/>
      </c>
      <c r="C221" s="241">
        <f>$B$210*C216</f>
        <v/>
      </c>
      <c r="D221" s="241">
        <f>$B$210*D216</f>
        <v/>
      </c>
      <c r="E221" s="241">
        <f>$B$210*E216</f>
        <v/>
      </c>
      <c r="F221" s="241">
        <f>$B$210*F216</f>
        <v/>
      </c>
      <c r="G221" s="241">
        <f>$B$210*G216</f>
        <v/>
      </c>
      <c r="H221" s="241">
        <f>$B$210*H216</f>
        <v/>
      </c>
      <c r="I221" s="241">
        <f>$B$210*I216</f>
        <v/>
      </c>
      <c r="J221" s="241">
        <f>$B$210*J216</f>
        <v/>
      </c>
      <c r="K221" s="241">
        <f>$B$210*K216</f>
        <v/>
      </c>
      <c r="L221" s="241">
        <f>$B$210*L216</f>
        <v/>
      </c>
      <c r="M221" s="241">
        <f>$B$210*M216</f>
        <v/>
      </c>
      <c r="N221" s="241">
        <f>$B$210*N216</f>
        <v/>
      </c>
      <c r="O221" s="241">
        <f>$B$210*O216</f>
        <v/>
      </c>
      <c r="P221" s="241">
        <f>$B$210*P216</f>
        <v/>
      </c>
      <c r="Q221" s="241">
        <f>$B$210*Q216</f>
        <v/>
      </c>
      <c r="R221" s="241">
        <f>$B$210*R216</f>
        <v/>
      </c>
      <c r="S221" s="241">
        <f>$B$210*S216</f>
        <v/>
      </c>
      <c r="T221" s="241">
        <f>$B$210*T216</f>
        <v/>
      </c>
      <c r="U221" s="241">
        <f>$B$210*U216</f>
        <v/>
      </c>
      <c r="V221" s="241">
        <f>$B$210*V216</f>
        <v/>
      </c>
    </row>
    <row r="222" hidden="1" outlineLevel="1" ht="15" customHeight="1" s="1"/>
    <row r="223" hidden="1" outlineLevel="1" ht="15" customHeight="1" s="1">
      <c r="A223" s="242" t="n"/>
      <c r="B223" s="243">
        <f>ROUNDUP(B217,0)</f>
        <v/>
      </c>
    </row>
    <row r="224" hidden="1" outlineLevel="1" ht="15" customHeight="1" s="1">
      <c r="A224" s="244" t="n"/>
      <c r="B224" s="245" t="n">
        <v>60</v>
      </c>
    </row>
    <row r="225" hidden="1" outlineLevel="1" ht="15" customHeight="1" s="1">
      <c r="A225" s="246" t="n"/>
      <c r="B225" s="247">
        <f>ROUNDUP(B218,0)</f>
        <v/>
      </c>
    </row>
    <row r="226" hidden="1" outlineLevel="1" ht="15" customHeight="1" s="1">
      <c r="A226" s="248" t="n"/>
      <c r="B226" s="249" t="n">
        <v>53</v>
      </c>
    </row>
    <row r="227" hidden="1" outlineLevel="1" ht="15" customHeight="1" s="1">
      <c r="A227" s="242" t="n"/>
      <c r="B227" s="250">
        <f>ROUNDUP(B219,0)</f>
        <v/>
      </c>
    </row>
    <row r="228" hidden="1" outlineLevel="1" ht="15" customHeight="1" s="1">
      <c r="A228" s="244" t="n"/>
      <c r="B228" s="245" t="n">
        <v>44</v>
      </c>
    </row>
    <row r="229" hidden="1" outlineLevel="1" ht="15" customHeight="1" s="1">
      <c r="A229" s="246" t="n"/>
      <c r="B229" s="247">
        <f>ROUNDUP(B220,0)</f>
        <v/>
      </c>
    </row>
    <row r="230" hidden="1" outlineLevel="1" ht="15" customHeight="1" s="1">
      <c r="A230" s="248" t="n"/>
      <c r="B230" s="249" t="n">
        <v>29</v>
      </c>
    </row>
    <row r="231" hidden="1" outlineLevel="1" ht="15" customHeight="1" s="1">
      <c r="A231" s="242" t="n"/>
      <c r="B231" s="250">
        <f>ROUNDUP(B221,0)</f>
        <v/>
      </c>
    </row>
    <row r="232" hidden="1" outlineLevel="1" ht="15" customHeight="1" s="1">
      <c r="A232" s="244" t="n"/>
      <c r="B232" s="245" t="n">
        <v>14</v>
      </c>
    </row>
    <row r="233" hidden="1" collapsed="1" s="1"/>
  </sheetData>
  <sheetProtection selectLockedCells="1" selectUnlockedCells="0" sheet="1" objects="1" insertRows="1" insertHyperlinks="1" autoFilter="1" scenarios="1" formatColumns="1" deleteColumns="1" insertColumns="1" pivotTables="1" deleteRows="1" formatCells="1" formatRows="1" sort="1"/>
  <mergeCells count="86">
    <mergeCell ref="B7:F7"/>
    <mergeCell ref="E210:F210"/>
    <mergeCell ref="Q94:R95"/>
    <mergeCell ref="K90:R91"/>
    <mergeCell ref="B3:F3"/>
    <mergeCell ref="H101:K101"/>
    <mergeCell ref="A88:B88"/>
    <mergeCell ref="R102:U102"/>
    <mergeCell ref="B2:F2"/>
    <mergeCell ref="K92:P93"/>
    <mergeCell ref="E87:AA87"/>
    <mergeCell ref="H95:J95"/>
    <mergeCell ref="J5:V5"/>
    <mergeCell ref="M107:P107"/>
    <mergeCell ref="K94:P95"/>
    <mergeCell ref="C95:G95"/>
    <mergeCell ref="H92:J92"/>
    <mergeCell ref="A85:B85"/>
    <mergeCell ref="X76:AA79"/>
    <mergeCell ref="Q96:R97"/>
    <mergeCell ref="B6:F6"/>
    <mergeCell ref="J4:V4"/>
    <mergeCell ref="W102:Z102"/>
    <mergeCell ref="C89:J89"/>
    <mergeCell ref="A87:B87"/>
    <mergeCell ref="W101:Z101"/>
    <mergeCell ref="H107:K107"/>
    <mergeCell ref="E209:F209"/>
    <mergeCell ref="C94:G94"/>
    <mergeCell ref="B8:F8"/>
    <mergeCell ref="E211:F211"/>
    <mergeCell ref="E84:AA84"/>
    <mergeCell ref="H102:K102"/>
    <mergeCell ref="A104:E104"/>
    <mergeCell ref="E86:AA86"/>
    <mergeCell ref="B9:F9"/>
    <mergeCell ref="A106:E106"/>
    <mergeCell ref="K96:P97"/>
    <mergeCell ref="W106:Z106"/>
    <mergeCell ref="B5:F5"/>
    <mergeCell ref="W105:Z105"/>
    <mergeCell ref="A83:B83"/>
    <mergeCell ref="B4:F4"/>
    <mergeCell ref="M101:P101"/>
    <mergeCell ref="E213:F213"/>
    <mergeCell ref="K89:R89"/>
    <mergeCell ref="E88:AA88"/>
    <mergeCell ref="E83:AA83"/>
    <mergeCell ref="M102:P102"/>
    <mergeCell ref="H106:K106"/>
    <mergeCell ref="B1:F1"/>
    <mergeCell ref="F97:J97"/>
    <mergeCell ref="C90:J90"/>
    <mergeCell ref="E212:F212"/>
    <mergeCell ref="R101:U101"/>
    <mergeCell ref="A112:E112"/>
    <mergeCell ref="C96:G96"/>
    <mergeCell ref="E214:F214"/>
    <mergeCell ref="C92:G92"/>
    <mergeCell ref="B12:V12"/>
    <mergeCell ref="H94:J94"/>
    <mergeCell ref="M106:P106"/>
    <mergeCell ref="A107:E107"/>
    <mergeCell ref="J3:V3"/>
    <mergeCell ref="B119:V119"/>
    <mergeCell ref="I8:V9"/>
    <mergeCell ref="A84:B84"/>
    <mergeCell ref="A99:E99"/>
    <mergeCell ref="C93:G93"/>
    <mergeCell ref="H96:J96"/>
    <mergeCell ref="I10:V11"/>
    <mergeCell ref="A86:B86"/>
    <mergeCell ref="A101:E101"/>
    <mergeCell ref="J6:V6"/>
    <mergeCell ref="B209:D209"/>
    <mergeCell ref="A109:E109"/>
    <mergeCell ref="C91:J91"/>
    <mergeCell ref="A89:B97"/>
    <mergeCell ref="H93:J93"/>
    <mergeCell ref="C97:E97"/>
    <mergeCell ref="A82:AA82"/>
    <mergeCell ref="E85:AA85"/>
    <mergeCell ref="A102:E102"/>
    <mergeCell ref="A111:E111"/>
    <mergeCell ref="Q92:R93"/>
    <mergeCell ref="J7:V7"/>
  </mergeCells>
  <conditionalFormatting sqref="X76">
    <cfRule type="containsText" priority="4" operator="between" dxfId="1" text="NOT PROFICIENT">
      <formula>NOT(ISERROR(SEARCH("NOT PROFICIENT",X76)))</formula>
    </cfRule>
    <cfRule type="containsText" priority="3" operator="between" dxfId="2" text="LOW PROFICIENT">
      <formula>NOT(ISERROR(SEARCH("LOW PROFICIENT",X76)))</formula>
    </cfRule>
    <cfRule type="containsText" priority="2" operator="between" dxfId="3" text="NEARLY PROFICIENT">
      <formula>NOT(ISERROR(SEARCH("NEARLY PROFICIENT",X76)))</formula>
    </cfRule>
    <cfRule type="containsText" priority="5" operator="between" dxfId="4" text="PROFICIENT">
      <formula>NOT(ISERROR(SEARCH("PROFICIENT",X76)))</formula>
    </cfRule>
    <cfRule type="containsText" priority="1" operator="between" dxfId="5" text="HIGHLY PROFICIENT">
      <formula>NOT(ISERROR(SEARCH("HIGHLY PROFICIENT",X76)))</formula>
    </cfRule>
  </conditionalFormatting>
  <conditionalFormatting sqref="A123:A192">
    <cfRule type="containsText" priority="34" operator="between" dxfId="0" text="Least Mastered">
      <formula>NOT(ISERROR(SEARCH("Least Mastered",A123)))</formula>
    </cfRule>
  </conditionalFormatting>
  <conditionalFormatting sqref="Y16:Y75">
    <cfRule type="top10" rank="5" priority="20" dxfId="5"/>
  </conditionalFormatting>
  <conditionalFormatting sqref="Z16:Z75">
    <cfRule type="containsText" priority="21" operator="between" dxfId="1" text="NOT PROFICIENT">
      <formula>NOT(ISERROR(SEARCH("NOT PROFICIENT",Z16)))</formula>
    </cfRule>
    <cfRule type="containsText" priority="22" operator="between" dxfId="2" text="LOW PROFICIENT">
      <formula>NOT(ISERROR(SEARCH("LOW PROFICIENT",Z16)))</formula>
    </cfRule>
    <cfRule type="containsText" priority="23" operator="between" dxfId="3" text="NEARLY PROFICIENT">
      <formula>NOT(ISERROR(SEARCH("NEARLY PROFICIENT",Z16)))</formula>
    </cfRule>
    <cfRule type="containsText" priority="25" operator="between" dxfId="5" text="HIGHLY PROFICIENT">
      <formula>NOT(ISERROR(SEARCH("HIGHLY PROFICIENT",Z16)))</formula>
    </cfRule>
    <cfRule type="containsText" priority="26" operator="between" dxfId="4" text="PROFICIENT">
      <formula>NOT(ISERROR(SEARCH("PROFICIENT",Z16)))</formula>
    </cfRule>
  </conditionalFormatting>
  <conditionalFormatting sqref="AA16:AA75">
    <cfRule type="containsText" priority="32" operator="between" dxfId="7" text="NOT PROFICIENT">
      <formula>NOT(ISERROR(SEARCH("NOT PROFICIENT",AA16)))</formula>
    </cfRule>
    <cfRule type="containsText" priority="27" operator="between" dxfId="5" text="HIGHLY PROFICIENT">
      <formula>NOT(ISERROR(SEARCH("HIGHLY PROFICIENT",AA16)))</formula>
    </cfRule>
    <cfRule type="containsText" priority="28" operator="between" dxfId="4" text="ENHANCEMENT">
      <formula>NOT(ISERROR(SEARCH("ENHANCEMENT",AA16)))</formula>
    </cfRule>
    <cfRule type="containsText" priority="29" operator="between" dxfId="3" text="INTERVENTION">
      <formula>NOT(ISERROR(SEARCH("INTERVENTION",AA16)))</formula>
    </cfRule>
    <cfRule type="containsText" priority="30" operator="between" dxfId="8" text="REMEDIATION">
      <formula>NOT(ISERROR(SEARCH("REMEDIATION",AA16)))</formula>
    </cfRule>
    <cfRule type="containsText" priority="31" operator="between" dxfId="9" text="RETEACH">
      <formula>NOT(ISERROR(SEARCH("RETEACH",AA16)))</formula>
    </cfRule>
  </conditionalFormatting>
  <conditionalFormatting sqref="A16:A75 A81 A98">
    <cfRule type="containsText" priority="33" operator="between" dxfId="0" text="Least Mastered">
      <formula>NOT(ISERROR(SEARCH("Least Mastered",A16)))</formula>
    </cfRule>
  </conditionalFormatting>
  <dataValidations count="1">
    <dataValidation sqref="H92:H96 Q92 Q94 Q96 S92:T97 W92:X97" showDropDown="0" showInputMessage="0" showErrorMessage="1" allowBlank="1"/>
  </dataValidations>
  <hyperlinks>
    <hyperlink ref="B5" location="'HOW-TO STEPS'!A1" display="Mabisang Komunikasyon"/>
    <hyperlink xmlns:r="http://schemas.openxmlformats.org/officeDocument/2006/relationships" ref="C91" display="https://classroom.synonym.com/remediation-activities-8065079.html?fbclid=IwAR1Zsdeb2_vH_BnUKqNEG91d1JbkTx20ci9tfLf1WBX4UcmDou05SvK0a2c." r:id="rId1"/>
  </hyperlinks>
  <printOptions horizontalCentered="1"/>
  <pageMargins left="0.25" right="0.25" top="0.75" bottom="0.75" header="0" footer="0"/>
  <pageSetup orientation="landscape" paperSize="9" scale="1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dc:creator>
  <dcterms:created xsi:type="dcterms:W3CDTF">2022-09-30T02:09:00Z</dcterms:created>
  <dcterms:modified xsi:type="dcterms:W3CDTF">2026-10-21T07:31:07Z</dcterms:modified>
  <cp:lastModifiedBy>GONZALES,EORICO ARON EJ M -BLENDED</cp:lastModifiedBy>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C86E7631ED8D4A2AAA6E8ADAB5DD48BF_12</vt:lpwstr>
  </property>
  <property name="KSOProductBuildVer" fmtid="{D5CDD505-2E9C-101B-9397-08002B2CF9AE}" pid="3">
    <vt:lpwstr>1033-12.1.0.29162</vt:lpwstr>
  </property>
  <property name="CalculationRule" fmtid="{D5CDD505-2E9C-101B-9397-08002B2CF9AE}" pid="4">
    <vt:i4>0</vt:i4>
  </property>
</Properties>
</file>